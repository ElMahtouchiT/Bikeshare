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mah\Documents\Formation\icc_EI\"/>
    </mc:Choice>
  </mc:AlternateContent>
  <xr:revisionPtr revIDLastSave="0" documentId="13_ncr:1_{D0989855-B13F-434F-AF92-5B4DB5B77CE1}" xr6:coauthVersionLast="47" xr6:coauthVersionMax="47" xr10:uidLastSave="{00000000-0000-0000-0000-000000000000}"/>
  <bookViews>
    <workbookView xWindow="-30150" yWindow="-16440" windowWidth="29040" windowHeight="15720" activeTab="1" xr2:uid="{00000000-000D-0000-FFFF-FFFF00000000}"/>
  </bookViews>
  <sheets>
    <sheet name="Gantt Chart" sheetId="1" r:id="rId1"/>
    <sheet name="Settings" sheetId="2" r:id="rId2"/>
  </sheets>
  <functionGroups builtInGroupCount="19"/>
  <definedNames>
    <definedName name="date">'Gantt Chart'!A$5</definedName>
    <definedName name="display_overdue">Settings!$H$8</definedName>
    <definedName name="display_team_colors">Settings!$H$10</definedName>
    <definedName name="display_weekend">Settings!$H$6</definedName>
    <definedName name="holidays">OFFSET(Settings!$C$17,,,COUNTA(Settings!$C$17:$C$125))</definedName>
    <definedName name="task_assigned_to" localSheetId="0">'Gantt Chart'!$E1</definedName>
    <definedName name="task_end">'Gantt Chart'!$J1</definedName>
    <definedName name="task_progress">'Gantt Chart'!$F1</definedName>
    <definedName name="task_start">'Gantt Chart'!$H1</definedName>
    <definedName name="task_workdays">'Gantt Chart'!$G1</definedName>
    <definedName name="tasks">OFFSET('Gantt Chart'!$B$9,,,COUNTA('Gantt Chart'!$B$8:$B$306))</definedName>
    <definedName name="team_member">Settings!$H1</definedName>
    <definedName name="weekend">Settings!$C$15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7" i="1" s="1"/>
  <c r="D5" i="1"/>
  <c r="I20" i="1"/>
  <c r="M5" i="1" l="1"/>
  <c r="J20" i="1"/>
  <c r="H21" i="1" s="1"/>
  <c r="J65" i="1"/>
  <c r="H66" i="1" s="1"/>
  <c r="J64" i="1"/>
  <c r="I68" i="1"/>
  <c r="I47" i="1"/>
  <c r="I48" i="1"/>
  <c r="I46" i="1"/>
  <c r="I54" i="1"/>
  <c r="I13" i="1"/>
  <c r="I55" i="1"/>
  <c r="I57" i="1"/>
  <c r="I45" i="1"/>
  <c r="I49" i="1"/>
  <c r="I18" i="1"/>
  <c r="I50" i="1"/>
  <c r="I53" i="1"/>
  <c r="I63" i="1"/>
  <c r="I10" i="1"/>
  <c r="I58" i="1"/>
  <c r="I56" i="1"/>
  <c r="I15" i="1"/>
  <c r="I62" i="1"/>
  <c r="I51" i="1"/>
  <c r="I61" i="1"/>
  <c r="I64" i="1"/>
  <c r="I69" i="1"/>
  <c r="I60" i="1"/>
  <c r="I52" i="1"/>
  <c r="I43" i="1"/>
  <c r="I66" i="1"/>
  <c r="I65" i="1"/>
  <c r="I59" i="1"/>
  <c r="I67" i="1"/>
  <c r="I44" i="1"/>
  <c r="J21" i="1" l="1"/>
  <c r="H22" i="1" s="1"/>
  <c r="J66" i="1"/>
  <c r="H67" i="1" s="1"/>
  <c r="J67" i="1" s="1"/>
  <c r="H68" i="1" s="1"/>
  <c r="J68" i="1" s="1"/>
  <c r="H69" i="1" s="1"/>
  <c r="J69" i="1" s="1"/>
  <c r="H9" i="1"/>
  <c r="H15" i="2"/>
  <c r="J38" i="1"/>
  <c r="H39" i="1" s="1"/>
  <c r="J37" i="1"/>
  <c r="C2" i="1"/>
  <c r="J19" i="1"/>
  <c r="D4" i="1"/>
  <c r="I36" i="1"/>
  <c r="I32" i="1"/>
  <c r="I31" i="1"/>
  <c r="I30" i="1"/>
  <c r="I27" i="1"/>
  <c r="I21" i="1"/>
  <c r="I22" i="1"/>
  <c r="I41" i="1"/>
  <c r="I42" i="1"/>
  <c r="I37" i="1"/>
  <c r="I28" i="1"/>
  <c r="I24" i="1"/>
  <c r="I34" i="1"/>
  <c r="I35" i="1"/>
  <c r="I26" i="1"/>
  <c r="I23" i="1"/>
  <c r="I38" i="1"/>
  <c r="I19" i="1"/>
  <c r="I16" i="1"/>
  <c r="I33" i="1"/>
  <c r="I40" i="1"/>
  <c r="I39" i="1"/>
  <c r="I25" i="1"/>
  <c r="I17" i="1"/>
  <c r="I29" i="1"/>
  <c r="J39" i="1" l="1"/>
  <c r="H40" i="1" s="1"/>
  <c r="J22" i="1"/>
  <c r="H23" i="1" s="1"/>
  <c r="J14" i="1"/>
  <c r="J8" i="1"/>
  <c r="I9" i="1"/>
  <c r="I12" i="1"/>
  <c r="I8" i="1"/>
  <c r="I11" i="1"/>
  <c r="J40" i="1" l="1"/>
  <c r="N5" i="1"/>
  <c r="J9" i="1"/>
  <c r="J23" i="1" l="1"/>
  <c r="H24" i="1" s="1"/>
  <c r="H41" i="1"/>
  <c r="J41" i="1" s="1"/>
  <c r="H10" i="1"/>
  <c r="J10" i="1" s="1"/>
  <c r="H11" i="1" s="1"/>
  <c r="O5" i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J5" i="1" s="1"/>
  <c r="CK5" i="1" s="1"/>
  <c r="CL5" i="1" s="1"/>
  <c r="CM5" i="1" s="1"/>
  <c r="CN5" i="1" s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CZ5" i="1" s="1"/>
  <c r="DA5" i="1" s="1"/>
  <c r="DB5" i="1" s="1"/>
  <c r="DC5" i="1" s="1"/>
  <c r="DD5" i="1" s="1"/>
  <c r="DE5" i="1" s="1"/>
  <c r="DF5" i="1" s="1"/>
  <c r="DG5" i="1" s="1"/>
  <c r="DH5" i="1" s="1"/>
  <c r="DI5" i="1" s="1"/>
  <c r="DJ5" i="1" s="1"/>
  <c r="DK5" i="1" s="1"/>
  <c r="DL5" i="1" s="1"/>
  <c r="DM5" i="1" s="1"/>
  <c r="DN5" i="1" s="1"/>
  <c r="DO5" i="1" s="1"/>
  <c r="DP5" i="1" s="1"/>
  <c r="DQ5" i="1" s="1"/>
  <c r="DR5" i="1" s="1"/>
  <c r="DS5" i="1" s="1"/>
  <c r="DT5" i="1" s="1"/>
  <c r="DU5" i="1" s="1"/>
  <c r="DV5" i="1" s="1"/>
  <c r="DW5" i="1" s="1"/>
  <c r="DX5" i="1" s="1"/>
  <c r="DY5" i="1" s="1"/>
  <c r="DZ5" i="1" s="1"/>
  <c r="EA5" i="1" s="1"/>
  <c r="EB5" i="1" s="1"/>
  <c r="EC5" i="1" s="1"/>
  <c r="ED5" i="1" s="1"/>
  <c r="EE5" i="1" s="1"/>
  <c r="EF5" i="1" s="1"/>
  <c r="EG5" i="1" s="1"/>
  <c r="EH5" i="1" s="1"/>
  <c r="EI5" i="1" s="1"/>
  <c r="EJ5" i="1" s="1"/>
  <c r="EK5" i="1" s="1"/>
  <c r="EL5" i="1" s="1"/>
  <c r="EM5" i="1" s="1"/>
  <c r="EN5" i="1" s="1"/>
  <c r="EO5" i="1" s="1"/>
  <c r="EP5" i="1" s="1"/>
  <c r="EQ5" i="1" s="1"/>
  <c r="ER5" i="1" s="1"/>
  <c r="ES5" i="1" s="1"/>
  <c r="ET5" i="1" s="1"/>
  <c r="EU5" i="1" s="1"/>
  <c r="EV5" i="1" s="1"/>
  <c r="EW5" i="1" s="1"/>
  <c r="EX5" i="1" s="1"/>
  <c r="EY5" i="1" s="1"/>
  <c r="EZ5" i="1" s="1"/>
  <c r="FA5" i="1" s="1"/>
  <c r="FB5" i="1" s="1"/>
  <c r="FC5" i="1" s="1"/>
  <c r="FD5" i="1" s="1"/>
  <c r="FE5" i="1" s="1"/>
  <c r="FF5" i="1" s="1"/>
  <c r="FG5" i="1" s="1"/>
  <c r="FH5" i="1" s="1"/>
  <c r="FI5" i="1" s="1"/>
  <c r="FJ5" i="1" s="1"/>
  <c r="FK5" i="1" s="1"/>
  <c r="FL5" i="1" s="1"/>
  <c r="FM5" i="1" s="1"/>
  <c r="FN5" i="1" s="1"/>
  <c r="FO5" i="1" s="1"/>
  <c r="FP5" i="1" s="1"/>
  <c r="FQ5" i="1" s="1"/>
  <c r="FR5" i="1" s="1"/>
  <c r="FS5" i="1" s="1"/>
  <c r="FT5" i="1" s="1"/>
  <c r="FU5" i="1" s="1"/>
  <c r="FV5" i="1" s="1"/>
  <c r="FW5" i="1" s="1"/>
  <c r="FX5" i="1" s="1"/>
  <c r="FY5" i="1" s="1"/>
  <c r="FZ5" i="1" s="1"/>
  <c r="GA5" i="1" s="1"/>
  <c r="GB5" i="1" s="1"/>
  <c r="GC5" i="1" s="1"/>
  <c r="GD5" i="1" s="1"/>
  <c r="GE5" i="1" s="1"/>
  <c r="GF5" i="1" s="1"/>
  <c r="GG5" i="1" s="1"/>
  <c r="GH5" i="1" s="1"/>
  <c r="GI5" i="1" s="1"/>
  <c r="GJ5" i="1" s="1"/>
  <c r="GK5" i="1" s="1"/>
  <c r="GL5" i="1" s="1"/>
  <c r="GM5" i="1" s="1"/>
  <c r="GN5" i="1" s="1"/>
  <c r="GO5" i="1" s="1"/>
  <c r="GP5" i="1" s="1"/>
  <c r="GQ5" i="1" s="1"/>
  <c r="GR5" i="1" s="1"/>
  <c r="GS5" i="1" s="1"/>
  <c r="GT5" i="1" s="1"/>
  <c r="GU5" i="1" s="1"/>
  <c r="GV5" i="1" s="1"/>
  <c r="GW5" i="1" s="1"/>
  <c r="GX5" i="1" s="1"/>
  <c r="GY5" i="1" s="1"/>
  <c r="GZ5" i="1" s="1"/>
  <c r="HA5" i="1" s="1"/>
  <c r="HB5" i="1" s="1"/>
  <c r="HC5" i="1" s="1"/>
  <c r="HD5" i="1" s="1"/>
  <c r="HE5" i="1" s="1"/>
  <c r="HF5" i="1" s="1"/>
  <c r="HG5" i="1" s="1"/>
  <c r="HH5" i="1" s="1"/>
  <c r="HI5" i="1" s="1"/>
  <c r="HJ5" i="1" s="1"/>
  <c r="HK5" i="1" s="1"/>
  <c r="HL5" i="1" s="1"/>
  <c r="HM5" i="1" s="1"/>
  <c r="HN5" i="1" s="1"/>
  <c r="HO5" i="1" s="1"/>
  <c r="HP5" i="1" s="1"/>
  <c r="HQ5" i="1" s="1"/>
  <c r="HR5" i="1" s="1"/>
  <c r="HS5" i="1" s="1"/>
  <c r="HT5" i="1" s="1"/>
  <c r="HU5" i="1" s="1"/>
  <c r="HV5" i="1" s="1"/>
  <c r="HW5" i="1" s="1"/>
  <c r="HX5" i="1" s="1"/>
  <c r="HY5" i="1" s="1"/>
  <c r="HZ5" i="1" s="1"/>
  <c r="IA5" i="1" s="1"/>
  <c r="IB5" i="1" s="1"/>
  <c r="IC5" i="1" s="1"/>
  <c r="ID5" i="1" s="1"/>
  <c r="IE5" i="1" s="1"/>
  <c r="IF5" i="1" s="1"/>
  <c r="IG5" i="1" s="1"/>
  <c r="IH5" i="1" s="1"/>
  <c r="II5" i="1" s="1"/>
  <c r="IJ5" i="1" s="1"/>
  <c r="IK5" i="1" s="1"/>
  <c r="IL5" i="1" s="1"/>
  <c r="IM5" i="1" s="1"/>
  <c r="IN5" i="1" s="1"/>
  <c r="IO5" i="1" s="1"/>
  <c r="IP5" i="1" s="1"/>
  <c r="IQ5" i="1" s="1"/>
  <c r="IR5" i="1" s="1"/>
  <c r="IS5" i="1" s="1"/>
  <c r="IT5" i="1" s="1"/>
  <c r="IU5" i="1" s="1"/>
  <c r="IV5" i="1" s="1"/>
  <c r="IW5" i="1" s="1"/>
  <c r="IX5" i="1" s="1"/>
  <c r="IY5" i="1" s="1"/>
  <c r="IZ5" i="1" s="1"/>
  <c r="JA5" i="1" s="1"/>
  <c r="JB5" i="1" s="1"/>
  <c r="JC5" i="1" s="1"/>
  <c r="JD5" i="1" s="1"/>
  <c r="JE5" i="1" s="1"/>
  <c r="JF5" i="1" s="1"/>
  <c r="JG5" i="1" s="1"/>
  <c r="JH5" i="1" s="1"/>
  <c r="JI5" i="1" s="1"/>
  <c r="JJ5" i="1" s="1"/>
  <c r="JK5" i="1" s="1"/>
  <c r="JL5" i="1" s="1"/>
  <c r="JM5" i="1" s="1"/>
  <c r="JN5" i="1" s="1"/>
  <c r="JO5" i="1" s="1"/>
  <c r="JP5" i="1" s="1"/>
  <c r="JQ5" i="1" s="1"/>
  <c r="JR5" i="1" s="1"/>
  <c r="JS5" i="1" s="1"/>
  <c r="JT5" i="1" s="1"/>
  <c r="JU5" i="1" s="1"/>
  <c r="JV5" i="1" s="1"/>
  <c r="JW5" i="1" s="1"/>
  <c r="N7" i="1"/>
  <c r="M7" i="1"/>
  <c r="J24" i="1" l="1"/>
  <c r="H25" i="1" s="1"/>
  <c r="H42" i="1"/>
  <c r="J42" i="1" s="1"/>
  <c r="J11" i="1"/>
  <c r="H12" i="1" s="1"/>
  <c r="J25" i="1" l="1"/>
  <c r="H26" i="1" s="1"/>
  <c r="H43" i="1"/>
  <c r="J43" i="1" s="1"/>
  <c r="J12" i="1"/>
  <c r="H13" i="1" s="1"/>
  <c r="O7" i="1"/>
  <c r="J26" i="1" l="1"/>
  <c r="H27" i="1" s="1"/>
  <c r="H44" i="1"/>
  <c r="J44" i="1" s="1"/>
  <c r="J13" i="1"/>
  <c r="P7" i="1"/>
  <c r="J27" i="1" l="1"/>
  <c r="H28" i="1" s="1"/>
  <c r="H45" i="1"/>
  <c r="J45" i="1" s="1"/>
  <c r="J15" i="1"/>
  <c r="H16" i="1" s="1"/>
  <c r="Q7" i="1"/>
  <c r="J28" i="1" l="1"/>
  <c r="H29" i="1" s="1"/>
  <c r="H46" i="1"/>
  <c r="J46" i="1" s="1"/>
  <c r="J16" i="1"/>
  <c r="R7" i="1"/>
  <c r="J29" i="1" l="1"/>
  <c r="H30" i="1" s="1"/>
  <c r="H47" i="1"/>
  <c r="J47" i="1" s="1"/>
  <c r="H17" i="1"/>
  <c r="J17" i="1" s="1"/>
  <c r="H18" i="1" s="1"/>
  <c r="J18" i="1" s="1"/>
  <c r="S7" i="1"/>
  <c r="J30" i="1" l="1"/>
  <c r="H31" i="1" s="1"/>
  <c r="H48" i="1"/>
  <c r="J48" i="1" s="1"/>
  <c r="T7" i="1"/>
  <c r="J31" i="1" l="1"/>
  <c r="H32" i="1" s="1"/>
  <c r="H49" i="1"/>
  <c r="J49" i="1" s="1"/>
  <c r="U7" i="1"/>
  <c r="J32" i="1" l="1"/>
  <c r="H33" i="1" s="1"/>
  <c r="H50" i="1"/>
  <c r="J50" i="1" s="1"/>
  <c r="V7" i="1"/>
  <c r="J33" i="1" l="1"/>
  <c r="H34" i="1" s="1"/>
  <c r="H51" i="1"/>
  <c r="J51" i="1" s="1"/>
  <c r="W7" i="1"/>
  <c r="J34" i="1" l="1"/>
  <c r="H35" i="1" s="1"/>
  <c r="H52" i="1"/>
  <c r="J52" i="1" s="1"/>
  <c r="X7" i="1"/>
  <c r="J35" i="1" l="1"/>
  <c r="H36" i="1" s="1"/>
  <c r="H53" i="1"/>
  <c r="J53" i="1" s="1"/>
  <c r="Y7" i="1"/>
  <c r="J36" i="1" l="1"/>
  <c r="H54" i="1"/>
  <c r="J54" i="1" s="1"/>
  <c r="Z7" i="1"/>
  <c r="H55" i="1" l="1"/>
  <c r="J55" i="1" s="1"/>
  <c r="AA7" i="1"/>
  <c r="H56" i="1" l="1"/>
  <c r="J56" i="1" s="1"/>
  <c r="AB7" i="1"/>
  <c r="H57" i="1" l="1"/>
  <c r="J57" i="1" s="1"/>
  <c r="AC7" i="1"/>
  <c r="H58" i="1" l="1"/>
  <c r="J58" i="1" s="1"/>
  <c r="AD7" i="1"/>
  <c r="H59" i="1" l="1"/>
  <c r="J59" i="1" s="1"/>
  <c r="AE7" i="1"/>
  <c r="H60" i="1" l="1"/>
  <c r="J60" i="1" s="1"/>
  <c r="AF7" i="1"/>
  <c r="H61" i="1" l="1"/>
  <c r="J61" i="1" s="1"/>
  <c r="AG7" i="1"/>
  <c r="H62" i="1" l="1"/>
  <c r="J62" i="1" s="1"/>
  <c r="AH7" i="1"/>
  <c r="H63" i="1" l="1"/>
  <c r="J63" i="1" s="1"/>
  <c r="AI7" i="1"/>
  <c r="AJ7" i="1" l="1"/>
  <c r="AK7" i="1" l="1"/>
  <c r="AL7" i="1" l="1"/>
  <c r="AM7" i="1" l="1"/>
  <c r="AN7" i="1" l="1"/>
  <c r="AO7" i="1" l="1"/>
  <c r="AP7" i="1" l="1"/>
  <c r="AQ7" i="1" l="1"/>
  <c r="AR7" i="1" l="1"/>
  <c r="AS7" i="1" l="1"/>
  <c r="AT7" i="1" l="1"/>
  <c r="AU7" i="1" l="1"/>
  <c r="AV7" i="1" l="1"/>
  <c r="AW7" i="1" l="1"/>
  <c r="AX7" i="1" l="1"/>
  <c r="AY7" i="1" l="1"/>
  <c r="AZ7" i="1" l="1"/>
  <c r="BA7" i="1" l="1"/>
  <c r="BB7" i="1" l="1"/>
  <c r="BC7" i="1" l="1"/>
  <c r="BD7" i="1" l="1"/>
  <c r="BE7" i="1" l="1"/>
  <c r="BF7" i="1" l="1"/>
  <c r="BG7" i="1" l="1"/>
  <c r="BH7" i="1" l="1"/>
  <c r="BI7" i="1" l="1"/>
  <c r="BJ7" i="1" l="1"/>
  <c r="BK7" i="1" l="1"/>
  <c r="BL7" i="1" l="1"/>
  <c r="BM7" i="1" l="1"/>
  <c r="BN7" i="1" l="1"/>
  <c r="BO7" i="1" l="1"/>
  <c r="BP7" i="1" l="1"/>
  <c r="BQ7" i="1" l="1"/>
  <c r="BR7" i="1" l="1"/>
  <c r="BS7" i="1" l="1"/>
  <c r="BT7" i="1" l="1"/>
  <c r="BU7" i="1" l="1"/>
  <c r="BV7" i="1" l="1"/>
  <c r="BW7" i="1" l="1"/>
  <c r="BX7" i="1" l="1"/>
  <c r="BY7" i="1" l="1"/>
  <c r="BZ7" i="1" l="1"/>
  <c r="CA7" i="1" l="1"/>
  <c r="CB7" i="1" l="1"/>
  <c r="CC7" i="1" l="1"/>
  <c r="CD7" i="1" l="1"/>
  <c r="CE7" i="1" l="1"/>
  <c r="CF7" i="1" l="1"/>
  <c r="CG7" i="1" l="1"/>
  <c r="CH7" i="1" l="1"/>
  <c r="CI7" i="1" l="1"/>
  <c r="CJ7" i="1" l="1"/>
  <c r="CK7" i="1" l="1"/>
  <c r="CL7" i="1" l="1"/>
  <c r="CM7" i="1" l="1"/>
  <c r="CN7" i="1" l="1"/>
  <c r="CO7" i="1" l="1"/>
  <c r="CP7" i="1" l="1"/>
  <c r="CQ7" i="1" l="1"/>
  <c r="CR7" i="1" l="1"/>
  <c r="CS7" i="1" l="1"/>
  <c r="CT7" i="1" l="1"/>
  <c r="CU7" i="1" l="1"/>
  <c r="CV7" i="1" l="1"/>
  <c r="CW7" i="1" l="1"/>
  <c r="CX7" i="1" l="1"/>
  <c r="CY7" i="1" l="1"/>
  <c r="CZ7" i="1" l="1"/>
  <c r="DA7" i="1" l="1"/>
  <c r="DB7" i="1" l="1"/>
  <c r="DC7" i="1" l="1"/>
  <c r="DD7" i="1" l="1"/>
  <c r="DE7" i="1" l="1"/>
  <c r="DF7" i="1" l="1"/>
  <c r="DG7" i="1" l="1"/>
  <c r="DH7" i="1" l="1"/>
  <c r="DI7" i="1" l="1"/>
  <c r="DJ7" i="1" l="1"/>
  <c r="DK7" i="1" l="1"/>
  <c r="DL7" i="1" l="1"/>
  <c r="DM7" i="1" l="1"/>
  <c r="DN7" i="1" l="1"/>
  <c r="DO7" i="1" l="1"/>
  <c r="DP7" i="1" l="1"/>
  <c r="DQ7" i="1" l="1"/>
  <c r="DR7" i="1" l="1"/>
  <c r="DS7" i="1" l="1"/>
  <c r="DT7" i="1" l="1"/>
  <c r="DU7" i="1" l="1"/>
  <c r="DV7" i="1" l="1"/>
  <c r="DW7" i="1" l="1"/>
  <c r="DX7" i="1" l="1"/>
  <c r="DY7" i="1" l="1"/>
  <c r="DZ7" i="1" l="1"/>
  <c r="EA7" i="1" l="1"/>
  <c r="EB7" i="1" l="1"/>
  <c r="EC7" i="1" l="1"/>
  <c r="ED7" i="1" l="1"/>
  <c r="EE7" i="1" l="1"/>
  <c r="EF7" i="1" l="1"/>
  <c r="EG7" i="1" l="1"/>
  <c r="EH7" i="1" l="1"/>
  <c r="EI7" i="1" l="1"/>
  <c r="EJ7" i="1" l="1"/>
  <c r="EK7" i="1" l="1"/>
  <c r="EL7" i="1" l="1"/>
  <c r="EM7" i="1" l="1"/>
  <c r="EN7" i="1" l="1"/>
  <c r="EO7" i="1" l="1"/>
  <c r="EP7" i="1" l="1"/>
  <c r="EQ7" i="1" l="1"/>
  <c r="ER7" i="1" l="1"/>
  <c r="ES7" i="1" l="1"/>
  <c r="ET7" i="1" l="1"/>
  <c r="EU7" i="1" l="1"/>
  <c r="EV7" i="1" l="1"/>
  <c r="EW7" i="1" l="1"/>
  <c r="EX7" i="1" l="1"/>
  <c r="EY7" i="1" l="1"/>
  <c r="EZ7" i="1" l="1"/>
  <c r="FA7" i="1" l="1"/>
  <c r="FB7" i="1" l="1"/>
  <c r="FC7" i="1" l="1"/>
  <c r="FD7" i="1" l="1"/>
  <c r="FE7" i="1" l="1"/>
  <c r="FF7" i="1" l="1"/>
  <c r="FG7" i="1" l="1"/>
  <c r="FH7" i="1" l="1"/>
  <c r="FI7" i="1" l="1"/>
  <c r="FJ7" i="1" l="1"/>
  <c r="FK7" i="1" l="1"/>
  <c r="FL7" i="1" l="1"/>
  <c r="FM7" i="1" l="1"/>
  <c r="FN7" i="1" l="1"/>
  <c r="FO7" i="1" l="1"/>
  <c r="FP7" i="1" l="1"/>
  <c r="FQ7" i="1" l="1"/>
  <c r="FR7" i="1" l="1"/>
  <c r="FS7" i="1" l="1"/>
  <c r="FT7" i="1" l="1"/>
  <c r="FU7" i="1" l="1"/>
  <c r="FV7" i="1" l="1"/>
  <c r="FW7" i="1" l="1"/>
  <c r="FX7" i="1" l="1"/>
  <c r="FY7" i="1" l="1"/>
  <c r="FZ7" i="1" l="1"/>
  <c r="GA7" i="1" l="1"/>
  <c r="GB7" i="1" l="1"/>
  <c r="GC7" i="1" l="1"/>
  <c r="GD7" i="1" l="1"/>
  <c r="GE7" i="1" l="1"/>
  <c r="GF7" i="1" l="1"/>
  <c r="GG7" i="1" l="1"/>
  <c r="GH7" i="1" l="1"/>
  <c r="GI7" i="1" l="1"/>
  <c r="GJ7" i="1" l="1"/>
  <c r="GK7" i="1" l="1"/>
  <c r="GL7" i="1" l="1"/>
  <c r="GM7" i="1" l="1"/>
  <c r="GN7" i="1" l="1"/>
  <c r="GO7" i="1" l="1"/>
  <c r="GP7" i="1" l="1"/>
  <c r="GQ7" i="1" l="1"/>
  <c r="GR7" i="1" l="1"/>
  <c r="GS7" i="1" l="1"/>
  <c r="GT7" i="1" l="1"/>
  <c r="GU7" i="1" l="1"/>
  <c r="GV7" i="1" l="1"/>
  <c r="GW7" i="1" l="1"/>
  <c r="GX7" i="1" l="1"/>
  <c r="GY7" i="1" l="1"/>
  <c r="GZ7" i="1" l="1"/>
  <c r="HA7" i="1" l="1"/>
  <c r="HB7" i="1" l="1"/>
  <c r="HC7" i="1" l="1"/>
  <c r="HD7" i="1" l="1"/>
  <c r="HE7" i="1" l="1"/>
  <c r="HF7" i="1" l="1"/>
  <c r="HG7" i="1" l="1"/>
  <c r="HH7" i="1" l="1"/>
  <c r="HI7" i="1" l="1"/>
  <c r="HJ7" i="1" l="1"/>
  <c r="HK7" i="1" l="1"/>
  <c r="HL7" i="1" l="1"/>
  <c r="HM7" i="1" l="1"/>
  <c r="HN7" i="1" l="1"/>
  <c r="HO7" i="1" l="1"/>
  <c r="HP7" i="1" l="1"/>
  <c r="HQ7" i="1" l="1"/>
  <c r="HR7" i="1" l="1"/>
  <c r="HS7" i="1" l="1"/>
  <c r="HT7" i="1" l="1"/>
  <c r="HU7" i="1" l="1"/>
  <c r="HV7" i="1" l="1"/>
  <c r="HW7" i="1" l="1"/>
  <c r="HX7" i="1" l="1"/>
  <c r="HY7" i="1" l="1"/>
  <c r="HZ7" i="1" l="1"/>
  <c r="IA7" i="1" l="1"/>
  <c r="IB7" i="1" l="1"/>
  <c r="IC7" i="1" l="1"/>
  <c r="ID7" i="1" l="1"/>
  <c r="IE7" i="1" l="1"/>
  <c r="IF7" i="1" l="1"/>
  <c r="IG7" i="1" l="1"/>
  <c r="IH7" i="1" l="1"/>
  <c r="II7" i="1" l="1"/>
  <c r="IJ7" i="1" l="1"/>
  <c r="IK7" i="1" l="1"/>
  <c r="IL7" i="1" l="1"/>
  <c r="IM7" i="1" l="1"/>
  <c r="IN7" i="1" l="1"/>
  <c r="IO7" i="1" l="1"/>
  <c r="IP7" i="1" l="1"/>
  <c r="IQ7" i="1" l="1"/>
  <c r="IR7" i="1" l="1"/>
  <c r="IS7" i="1" l="1"/>
  <c r="IT7" i="1" l="1"/>
  <c r="IU7" i="1" l="1"/>
  <c r="IV7" i="1" l="1"/>
  <c r="IW7" i="1" l="1"/>
  <c r="IX7" i="1" l="1"/>
  <c r="IY7" i="1" l="1"/>
  <c r="IZ7" i="1" l="1"/>
  <c r="JA7" i="1" l="1"/>
  <c r="JB7" i="1" l="1"/>
  <c r="JC7" i="1" l="1"/>
  <c r="JD7" i="1" l="1"/>
  <c r="JE7" i="1" l="1"/>
  <c r="JF7" i="1" l="1"/>
  <c r="JG7" i="1" l="1"/>
  <c r="JH7" i="1" l="1"/>
  <c r="JI7" i="1" l="1"/>
  <c r="JJ7" i="1" l="1"/>
  <c r="JK7" i="1" l="1"/>
  <c r="JL7" i="1" l="1"/>
  <c r="JM7" i="1" l="1"/>
  <c r="JN7" i="1" l="1"/>
  <c r="JO7" i="1" l="1"/>
  <c r="JP7" i="1" l="1"/>
  <c r="JQ7" i="1" l="1"/>
  <c r="JR7" i="1" l="1"/>
  <c r="JS7" i="1" l="1"/>
  <c r="JT7" i="1" l="1"/>
  <c r="JU7" i="1" l="1"/>
  <c r="JV7" i="1" l="1"/>
  <c r="JW7" i="1"/>
</calcChain>
</file>

<file path=xl/sharedStrings.xml><?xml version="1.0" encoding="utf-8"?>
<sst xmlns="http://schemas.openxmlformats.org/spreadsheetml/2006/main" count="249" uniqueCount="155">
  <si>
    <t>Project manager:</t>
  </si>
  <si>
    <t>Project Start Date:</t>
  </si>
  <si>
    <t>START</t>
  </si>
  <si>
    <t>END</t>
  </si>
  <si>
    <t>TASKS</t>
  </si>
  <si>
    <t>PROGRESS</t>
  </si>
  <si>
    <t>Project Stage 1</t>
  </si>
  <si>
    <t>Task 1.1</t>
  </si>
  <si>
    <t>Task 1.2</t>
  </si>
  <si>
    <t>Task 1.3</t>
  </si>
  <si>
    <t>Task 1.4</t>
  </si>
  <si>
    <t>Project Stage 2</t>
  </si>
  <si>
    <t>Task 2.1</t>
  </si>
  <si>
    <t>Task 2.2</t>
  </si>
  <si>
    <t>Task 2.3</t>
  </si>
  <si>
    <t>Task 2.4</t>
  </si>
  <si>
    <t>Settings</t>
  </si>
  <si>
    <t>Project Data</t>
  </si>
  <si>
    <t>Project Name:</t>
  </si>
  <si>
    <t>Project Manager:</t>
  </si>
  <si>
    <t>Project Start:</t>
  </si>
  <si>
    <t>Weekend &amp; Holidays</t>
  </si>
  <si>
    <t>Weekend Days:</t>
  </si>
  <si>
    <t>0000011</t>
  </si>
  <si>
    <t>Holidays:</t>
  </si>
  <si>
    <t>WORK DAYS</t>
  </si>
  <si>
    <t>Task Dependency Formula:</t>
  </si>
  <si>
    <t>=SERIE.JOUR.OUVRE.INTL(CELL_REF;DAYS;weekend;holidays)</t>
  </si>
  <si>
    <t>#</t>
  </si>
  <si>
    <t>1.1</t>
  </si>
  <si>
    <t>1.2</t>
  </si>
  <si>
    <t>1.3</t>
  </si>
  <si>
    <t>1.4</t>
  </si>
  <si>
    <t>2.1</t>
  </si>
  <si>
    <t>2.2</t>
  </si>
  <si>
    <t>2.3</t>
  </si>
  <si>
    <t>2.4</t>
  </si>
  <si>
    <t>DEPENDS ON</t>
  </si>
  <si>
    <t>Visibility</t>
  </si>
  <si>
    <t>Display Overdue:</t>
  </si>
  <si>
    <t>Display Weekends &amp; Holidays:</t>
  </si>
  <si>
    <t>ASSIGNED TO</t>
  </si>
  <si>
    <t>Team Members</t>
  </si>
  <si>
    <t>Pentecôte</t>
  </si>
  <si>
    <t>Début des vacances d'été</t>
  </si>
  <si>
    <t>Project Stage 3</t>
  </si>
  <si>
    <t>Task 3.1</t>
  </si>
  <si>
    <t>Task 3.2</t>
  </si>
  <si>
    <t>Task 3.3</t>
  </si>
  <si>
    <t>Task 3.4</t>
  </si>
  <si>
    <t>Task 3.5</t>
  </si>
  <si>
    <t>Task 3.6</t>
  </si>
  <si>
    <t>Task 3.7</t>
  </si>
  <si>
    <t>Task 3.8</t>
  </si>
  <si>
    <t>Task 3.9</t>
  </si>
  <si>
    <t>Task 3.1.0</t>
  </si>
  <si>
    <t>Task 3.1.1</t>
  </si>
  <si>
    <t>Task 3.1.2</t>
  </si>
  <si>
    <t>Task 3.1.3</t>
  </si>
  <si>
    <t>Task 3.1.4</t>
  </si>
  <si>
    <t>Task 3.1.5</t>
  </si>
  <si>
    <t>Task 3.1.6</t>
  </si>
  <si>
    <t>Task 3.1.7</t>
  </si>
  <si>
    <t>3.1</t>
  </si>
  <si>
    <t>3.2</t>
  </si>
  <si>
    <t>3.3</t>
  </si>
  <si>
    <t>3.4</t>
  </si>
  <si>
    <t>3.5</t>
  </si>
  <si>
    <t>3.6</t>
  </si>
  <si>
    <t>3.7</t>
  </si>
  <si>
    <t>3.8</t>
  </si>
  <si>
    <t>3.9</t>
  </si>
  <si>
    <t>3.1.0</t>
  </si>
  <si>
    <t>3.1.1</t>
  </si>
  <si>
    <t>3.1.2</t>
  </si>
  <si>
    <t>3.1.3</t>
  </si>
  <si>
    <t>3.1.4</t>
  </si>
  <si>
    <t>3.1.5</t>
  </si>
  <si>
    <t>3.1.6</t>
  </si>
  <si>
    <t>3.1.7</t>
  </si>
  <si>
    <t>Project Stage 4</t>
  </si>
  <si>
    <t>Task 4.1</t>
  </si>
  <si>
    <t>Task 4.2</t>
  </si>
  <si>
    <t>Task 4.3</t>
  </si>
  <si>
    <t>Task 4.4</t>
  </si>
  <si>
    <t>Task 4.5</t>
  </si>
  <si>
    <t>4.1</t>
  </si>
  <si>
    <t>4.2</t>
  </si>
  <si>
    <t>4.3</t>
  </si>
  <si>
    <t>4.4</t>
  </si>
  <si>
    <t>4.5</t>
  </si>
  <si>
    <t>1.5</t>
  </si>
  <si>
    <t>Task 1.5</t>
  </si>
  <si>
    <t>4.6</t>
  </si>
  <si>
    <t>Task 4.6</t>
  </si>
  <si>
    <t>4.7</t>
  </si>
  <si>
    <t>Task 4.7</t>
  </si>
  <si>
    <t>4.8</t>
  </si>
  <si>
    <t>Task 4.8</t>
  </si>
  <si>
    <t>4.9</t>
  </si>
  <si>
    <t>Task 4.9</t>
  </si>
  <si>
    <t>Task 4.1.0</t>
  </si>
  <si>
    <t>Task 4.1.1</t>
  </si>
  <si>
    <t>Task 4.1.2</t>
  </si>
  <si>
    <t>Task 4.1.3</t>
  </si>
  <si>
    <t>Task 4.1.4</t>
  </si>
  <si>
    <t>Task 4.1.5</t>
  </si>
  <si>
    <t>Task 4.1.6</t>
  </si>
  <si>
    <t>Task 4.1.7</t>
  </si>
  <si>
    <t>Task 4.1.8</t>
  </si>
  <si>
    <t>Task 4.1.9</t>
  </si>
  <si>
    <t>Task 4.2.0</t>
  </si>
  <si>
    <t>Task 4.2.1</t>
  </si>
  <si>
    <t>Task 4.2.2</t>
  </si>
  <si>
    <t>Task 4.2.3</t>
  </si>
  <si>
    <t>Task 4.2.4</t>
  </si>
  <si>
    <t>Task 4.2.5</t>
  </si>
  <si>
    <t>Task 4.2.6</t>
  </si>
  <si>
    <t>4.1.0</t>
  </si>
  <si>
    <t>4.1.1</t>
  </si>
  <si>
    <t>4.1.2</t>
  </si>
  <si>
    <t>4.1.3</t>
  </si>
  <si>
    <t>4.1.4</t>
  </si>
  <si>
    <t>4.1.5</t>
  </si>
  <si>
    <t>4.1.6</t>
  </si>
  <si>
    <t>4.1.7</t>
  </si>
  <si>
    <t>4.1.8</t>
  </si>
  <si>
    <t>4.1.9</t>
  </si>
  <si>
    <t>4.2.0</t>
  </si>
  <si>
    <t>4.2.1</t>
  </si>
  <si>
    <t>4.2.2</t>
  </si>
  <si>
    <t>4.2.3</t>
  </si>
  <si>
    <t>4.2.4</t>
  </si>
  <si>
    <t>4.2.5</t>
  </si>
  <si>
    <t>4.2.6</t>
  </si>
  <si>
    <t>Project Stage 5</t>
  </si>
  <si>
    <t>5.1</t>
  </si>
  <si>
    <t>Task 5.1</t>
  </si>
  <si>
    <t>5.2</t>
  </si>
  <si>
    <t>Task 5.2</t>
  </si>
  <si>
    <t>5.3</t>
  </si>
  <si>
    <t>Task 5.3</t>
  </si>
  <si>
    <t>5.4</t>
  </si>
  <si>
    <t>Task 5.4</t>
  </si>
  <si>
    <t>5.5</t>
  </si>
  <si>
    <t>Task 5.5</t>
  </si>
  <si>
    <t>Congé d’automne / Toussaint</t>
  </si>
  <si>
    <t>Armistice</t>
  </si>
  <si>
    <t>Vacances d’hiver / Noël</t>
  </si>
  <si>
    <t>Congé de détente / Carnaval</t>
  </si>
  <si>
    <t>Lundi de Pâques</t>
  </si>
  <si>
    <t>Vacances de printemps / Pâques</t>
  </si>
  <si>
    <t>Ascension</t>
  </si>
  <si>
    <t>EL MAHTOUCHI Tarik</t>
  </si>
  <si>
    <t>BrikeShare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</si>
</sst>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Tahoma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5" fontId="0" fillId="0" borderId="0" xfId="0" applyNumberFormat="1"/>
    <xf numFmtId="15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/>
    <xf numFmtId="0" fontId="0" fillId="0" borderId="2" xfId="0" applyBorder="1" applyAlignment="1">
      <alignment horizontal="left" indent="2"/>
    </xf>
    <xf numFmtId="0" fontId="0" fillId="0" borderId="2" xfId="0" applyBorder="1"/>
    <xf numFmtId="0" fontId="0" fillId="0" borderId="2" xfId="0" applyBorder="1" applyAlignment="1">
      <alignment horizontal="left" indent="1"/>
    </xf>
    <xf numFmtId="15" fontId="0" fillId="0" borderId="2" xfId="0" applyNumberFormat="1" applyBorder="1"/>
    <xf numFmtId="0" fontId="0" fillId="0" borderId="1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0" xfId="0" applyFont="1"/>
    <xf numFmtId="0" fontId="7" fillId="0" borderId="0" xfId="0" quotePrefix="1" applyFont="1"/>
    <xf numFmtId="0" fontId="9" fillId="0" borderId="2" xfId="0" applyFont="1" applyBorder="1" applyAlignment="1">
      <alignment horizontal="center"/>
    </xf>
    <xf numFmtId="0" fontId="10" fillId="0" borderId="0" xfId="0" applyFont="1"/>
    <xf numFmtId="0" fontId="11" fillId="0" borderId="0" xfId="0" applyFont="1"/>
    <xf numFmtId="0" fontId="10" fillId="4" borderId="0" xfId="0" applyFont="1" applyFill="1" applyAlignment="1">
      <alignment horizontal="left" indent="1"/>
    </xf>
    <xf numFmtId="0" fontId="8" fillId="0" borderId="0" xfId="0" applyFont="1"/>
    <xf numFmtId="0" fontId="5" fillId="0" borderId="3" xfId="0" applyFont="1" applyBorder="1" applyAlignment="1">
      <alignment horizontal="left" indent="1"/>
    </xf>
    <xf numFmtId="0" fontId="5" fillId="0" borderId="4" xfId="0" applyFont="1" applyBorder="1" applyAlignment="1">
      <alignment horizontal="left" indent="1"/>
    </xf>
    <xf numFmtId="0" fontId="5" fillId="5" borderId="0" xfId="0" applyFont="1" applyFill="1" applyAlignment="1">
      <alignment horizontal="left" indent="1"/>
    </xf>
    <xf numFmtId="49" fontId="5" fillId="5" borderId="0" xfId="0" applyNumberFormat="1" applyFont="1" applyFill="1" applyAlignment="1">
      <alignment horizontal="left" indent="1"/>
    </xf>
    <xf numFmtId="15" fontId="5" fillId="0" borderId="4" xfId="0" applyNumberFormat="1" applyFont="1" applyBorder="1" applyAlignment="1">
      <alignment horizontal="left" indent="1"/>
    </xf>
    <xf numFmtId="0" fontId="4" fillId="5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center" vertical="center"/>
    </xf>
    <xf numFmtId="0" fontId="15" fillId="7" borderId="0" xfId="0" applyFont="1" applyFill="1"/>
    <xf numFmtId="15" fontId="14" fillId="0" borderId="2" xfId="0" applyNumberFormat="1" applyFont="1" applyBorder="1"/>
    <xf numFmtId="0" fontId="17" fillId="0" borderId="0" xfId="0" applyFont="1"/>
    <xf numFmtId="0" fontId="10" fillId="0" borderId="0" xfId="0" applyFont="1" applyAlignment="1">
      <alignment horizontal="left" indent="1"/>
    </xf>
    <xf numFmtId="0" fontId="20" fillId="0" borderId="0" xfId="0" applyFont="1"/>
    <xf numFmtId="14" fontId="19" fillId="8" borderId="3" xfId="0" applyNumberFormat="1" applyFont="1" applyFill="1" applyBorder="1" applyAlignment="1">
      <alignment horizontal="left"/>
    </xf>
    <xf numFmtId="14" fontId="19" fillId="8" borderId="4" xfId="0" applyNumberFormat="1" applyFont="1" applyFill="1" applyBorder="1" applyAlignment="1">
      <alignment horizontal="left"/>
    </xf>
    <xf numFmtId="14" fontId="5" fillId="5" borderId="0" xfId="0" applyNumberFormat="1" applyFont="1" applyFill="1" applyAlignment="1">
      <alignment horizontal="left" indent="1"/>
    </xf>
    <xf numFmtId="14" fontId="5" fillId="9" borderId="4" xfId="0" applyNumberFormat="1" applyFont="1" applyFill="1" applyBorder="1" applyAlignment="1">
      <alignment horizontal="left" indent="1"/>
    </xf>
    <xf numFmtId="0" fontId="8" fillId="9" borderId="0" xfId="0" applyFont="1" applyFill="1"/>
    <xf numFmtId="0" fontId="18" fillId="10" borderId="1" xfId="0" applyFont="1" applyFill="1" applyBorder="1" applyAlignment="1">
      <alignment horizontal="left" indent="1"/>
    </xf>
    <xf numFmtId="0" fontId="18" fillId="0" borderId="2" xfId="0" applyFont="1" applyBorder="1" applyAlignment="1">
      <alignment horizontal="left" indent="1"/>
    </xf>
    <xf numFmtId="0" fontId="18" fillId="10" borderId="2" xfId="0" applyFont="1" applyFill="1" applyBorder="1" applyAlignment="1">
      <alignment horizontal="left" indent="1"/>
    </xf>
    <xf numFmtId="0" fontId="18" fillId="0" borderId="0" xfId="0" applyFont="1"/>
    <xf numFmtId="0" fontId="15" fillId="6" borderId="0" xfId="0" applyFont="1" applyFill="1" applyAlignment="1">
      <alignment horizontal="center" vertical="center"/>
    </xf>
    <xf numFmtId="15" fontId="0" fillId="2" borderId="0" xfId="0" applyNumberFormat="1" applyFill="1" applyAlignment="1">
      <alignment horizontal="center" vertical="top" textRotation="90"/>
    </xf>
    <xf numFmtId="0" fontId="13" fillId="6" borderId="0" xfId="0" applyFont="1" applyFill="1" applyAlignment="1">
      <alignment horizontal="center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88"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ont>
        <color theme="0" tint="-0.34998626667073579"/>
      </font>
    </dxf>
    <dxf>
      <font>
        <color theme="0" tint="-0.34998626667073579"/>
      </font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 patternType="lightUp">
          <fgColor theme="0" tint="-4.9989318521683403E-2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34998626667073579"/>
      </font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 patternType="lightUp">
          <fgColor theme="0" tint="-4.9989318521683403E-2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34998626667073579"/>
      </font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 patternType="lightUp">
          <fgColor theme="0" tint="-4.9989318521683403E-2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34998626667073579"/>
      </font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 patternType="lightUp">
          <fgColor theme="0" tint="-4.9989318521683403E-2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34998626667073579"/>
      </font>
    </dxf>
    <dxf>
      <font>
        <color theme="0"/>
      </font>
      <fill>
        <patternFill>
          <bgColor rgb="FF92D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 patternType="lightUp">
          <fgColor theme="0" tint="-4.9989318521683403E-2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77E6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6" fmlaLink="$L$4" horiz="1" max="100" min="1" noThreeD="1" page="0"/>
</file>

<file path=xl/ctrlProps/ctrlProp2.xml><?xml version="1.0" encoding="utf-8"?>
<formControlPr xmlns="http://schemas.microsoft.com/office/spreadsheetml/2009/9/main" objectType="CheckBox" checked="Checked" fmlaLink="display_weekend" lockText="1" noThreeD="1"/>
</file>

<file path=xl/ctrlProps/ctrlProp3.xml><?xml version="1.0" encoding="utf-8"?>
<formControlPr xmlns="http://schemas.microsoft.com/office/spreadsheetml/2009/9/main" objectType="CheckBox" checked="Checked" fmlaLink="display_overdue" lockText="1" noThreeD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Settings!B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Gantt Chart'!B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161925</xdr:colOff>
      <xdr:row>0</xdr:row>
      <xdr:rowOff>180975</xdr:rowOff>
    </xdr:from>
    <xdr:to>
      <xdr:col>30</xdr:col>
      <xdr:colOff>190500</xdr:colOff>
      <xdr:row>2</xdr:row>
      <xdr:rowOff>142875</xdr:rowOff>
    </xdr:to>
    <xdr:grpSp>
      <xdr:nvGrpSpPr>
        <xdr:cNvPr id="5" name="Grou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2115800" y="180975"/>
          <a:ext cx="1514475" cy="447675"/>
          <a:chOff x="6696075" y="209550"/>
          <a:chExt cx="1514475" cy="447675"/>
        </a:xfrm>
      </xdr:grpSpPr>
      <xdr:sp macro="" textlink="">
        <xdr:nvSpPr>
          <xdr:cNvPr id="2" name="Rectangle à coins arrondi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6696075" y="209550"/>
            <a:ext cx="1514475" cy="447675"/>
          </a:xfrm>
          <a:prstGeom prst="round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BE" sz="1100" b="1">
              <a:solidFill>
                <a:schemeClr val="bg1"/>
              </a:solidFill>
            </a:endParaRPr>
          </a:p>
        </xdr:txBody>
      </xdr:sp>
      <xdr:pic>
        <xdr:nvPicPr>
          <xdr:cNvPr id="3" name="Image 2" descr="C:\Users\user\AppData\Local\Microsoft\Windows\Temporary Internet Files\Content.IE5\LH3LSS4C\Gear-Wheel-PNG-Pic[1].png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artisticPaintStrokes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29425" y="285750"/>
            <a:ext cx="314325" cy="3143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248525" y="266700"/>
            <a:ext cx="866840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BE" sz="1600" b="1">
                <a:solidFill>
                  <a:schemeClr val="bg1"/>
                </a:solidFill>
              </a:rPr>
              <a:t>Settings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123825</xdr:rowOff>
        </xdr:from>
        <xdr:to>
          <xdr:col>23</xdr:col>
          <xdr:colOff>85725</xdr:colOff>
          <xdr:row>3</xdr:row>
          <xdr:rowOff>152400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2</xdr:row>
          <xdr:rowOff>133350</xdr:rowOff>
        </xdr:from>
        <xdr:to>
          <xdr:col>9</xdr:col>
          <xdr:colOff>628650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Weekends &amp; Holidays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4</xdr:row>
          <xdr:rowOff>28575</xdr:rowOff>
        </xdr:from>
        <xdr:to>
          <xdr:col>9</xdr:col>
          <xdr:colOff>628650</xdr:colOff>
          <xdr:row>4</xdr:row>
          <xdr:rowOff>247650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Overdue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0</xdr:row>
      <xdr:rowOff>180975</xdr:rowOff>
    </xdr:from>
    <xdr:to>
      <xdr:col>12</xdr:col>
      <xdr:colOff>171450</xdr:colOff>
      <xdr:row>2</xdr:row>
      <xdr:rowOff>142875</xdr:rowOff>
    </xdr:to>
    <xdr:grpSp>
      <xdr:nvGrpSpPr>
        <xdr:cNvPr id="8" name="Group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10925175" y="180975"/>
          <a:ext cx="1514475" cy="447675"/>
          <a:chOff x="2314575" y="161925"/>
          <a:chExt cx="1514475" cy="447675"/>
        </a:xfrm>
      </xdr:grpSpPr>
      <xdr:sp macro="" textlink="">
        <xdr:nvSpPr>
          <xdr:cNvPr id="3" name="Rectangle à coins arrondi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314575" y="161925"/>
            <a:ext cx="1514475" cy="447675"/>
          </a:xfrm>
          <a:prstGeom prst="round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BE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2867025" y="219075"/>
            <a:ext cx="585353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BE" sz="1600" b="1">
                <a:solidFill>
                  <a:schemeClr val="bg1"/>
                </a:solidFill>
              </a:rPr>
              <a:t>Back</a:t>
            </a:r>
          </a:p>
        </xdr:txBody>
      </xdr:sp>
      <xdr:pic>
        <xdr:nvPicPr>
          <xdr:cNvPr id="6" name="Image 5" descr="C:\Users\user\AppData\Local\Microsoft\Windows\Temporary Internet Files\Content.IE5\TS16WPPB\return-arrow[1].png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V="1">
            <a:off x="2476502" y="276224"/>
            <a:ext cx="257174" cy="25717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JW69"/>
  <sheetViews>
    <sheetView showGridLines="0" zoomScaleNormal="100" workbookViewId="0">
      <selection activeCell="B1" sqref="B1:B1048576"/>
    </sheetView>
  </sheetViews>
  <sheetFormatPr baseColWidth="10" defaultRowHeight="15" x14ac:dyDescent="0.25"/>
  <cols>
    <col min="1" max="1" width="2.42578125" customWidth="1"/>
    <col min="2" max="2" width="6.42578125" style="48" bestFit="1" customWidth="1"/>
    <col min="3" max="3" width="34.85546875" customWidth="1"/>
    <col min="4" max="4" width="2.7109375" customWidth="1"/>
    <col min="5" max="5" width="23.42578125" customWidth="1"/>
    <col min="7" max="7" width="9.5703125" customWidth="1"/>
    <col min="8" max="8" width="12.28515625" customWidth="1"/>
    <col min="9" max="9" width="12.5703125" customWidth="1"/>
    <col min="10" max="10" width="11.85546875" customWidth="1"/>
    <col min="11" max="11" width="3.42578125" customWidth="1"/>
    <col min="12" max="12" width="3.7109375" customWidth="1"/>
    <col min="13" max="287" width="3.7109375" bestFit="1" customWidth="1"/>
  </cols>
  <sheetData>
    <row r="2" spans="2:283" ht="23.25" x14ac:dyDescent="0.35">
      <c r="C2" s="54" t="str">
        <f>Settings!C6</f>
        <v>BrikeShare</v>
      </c>
      <c r="D2" s="54"/>
      <c r="E2" s="54"/>
      <c r="F2" s="54"/>
      <c r="G2" s="54"/>
      <c r="I2" s="7" t="s">
        <v>26</v>
      </c>
      <c r="L2" s="19" t="s">
        <v>27</v>
      </c>
    </row>
    <row r="4" spans="2:283" ht="12.6" customHeight="1" x14ac:dyDescent="0.25">
      <c r="C4" s="5" t="s">
        <v>0</v>
      </c>
      <c r="D4" s="53" t="str">
        <f>Settings!C8</f>
        <v>EL MAHTOUCHI Tarik</v>
      </c>
      <c r="E4" s="53"/>
      <c r="G4" s="1"/>
      <c r="L4">
        <v>1</v>
      </c>
    </row>
    <row r="5" spans="2:283" ht="30" customHeight="1" x14ac:dyDescent="0.25">
      <c r="C5" s="5" t="s">
        <v>1</v>
      </c>
      <c r="D5" s="52">
        <f>Settings!C10</f>
        <v>45932</v>
      </c>
      <c r="E5" s="52"/>
      <c r="G5" s="4"/>
      <c r="L5" s="50">
        <f>IF(display_weekend,D5-WEEKDAY(D5,3)+(L4-1),WORKDAY.INTL(D5-WEEKDAY(D5,3)+(L4-1)-1,1,weekend,holidays))</f>
        <v>45929</v>
      </c>
      <c r="M5" s="50">
        <f>IF(display_weekend,L5+1,WORKDAY.INTL(L5,1,weekend,holidays))</f>
        <v>45930</v>
      </c>
      <c r="N5" s="50">
        <f t="shared" ref="N5:BX5" si="0">IF(display_weekend,M5+1,WORKDAY.INTL(M5,1,weekend,holidays))</f>
        <v>45931</v>
      </c>
      <c r="O5" s="50">
        <f t="shared" si="0"/>
        <v>45932</v>
      </c>
      <c r="P5" s="50">
        <f>IF(display_weekend,O5+1,WORKDAY.INTL(O5,1,weekend,holidays))</f>
        <v>45933</v>
      </c>
      <c r="Q5" s="50">
        <f>IF(display_weekend,P5+1,WORKDAY.INTL(P5,1,weekend,holidays))</f>
        <v>45934</v>
      </c>
      <c r="R5" s="50">
        <f t="shared" si="0"/>
        <v>45935</v>
      </c>
      <c r="S5" s="50">
        <f t="shared" si="0"/>
        <v>45936</v>
      </c>
      <c r="T5" s="50">
        <f t="shared" si="0"/>
        <v>45937</v>
      </c>
      <c r="U5" s="50">
        <f t="shared" si="0"/>
        <v>45938</v>
      </c>
      <c r="V5" s="50">
        <f t="shared" si="0"/>
        <v>45939</v>
      </c>
      <c r="W5" s="50">
        <f t="shared" si="0"/>
        <v>45940</v>
      </c>
      <c r="X5" s="50">
        <f t="shared" si="0"/>
        <v>45941</v>
      </c>
      <c r="Y5" s="50">
        <f t="shared" si="0"/>
        <v>45942</v>
      </c>
      <c r="Z5" s="50">
        <f t="shared" si="0"/>
        <v>45943</v>
      </c>
      <c r="AA5" s="50">
        <f t="shared" si="0"/>
        <v>45944</v>
      </c>
      <c r="AB5" s="50">
        <f t="shared" si="0"/>
        <v>45945</v>
      </c>
      <c r="AC5" s="50">
        <f t="shared" si="0"/>
        <v>45946</v>
      </c>
      <c r="AD5" s="50">
        <f t="shared" si="0"/>
        <v>45947</v>
      </c>
      <c r="AE5" s="50">
        <f t="shared" si="0"/>
        <v>45948</v>
      </c>
      <c r="AF5" s="50">
        <f t="shared" si="0"/>
        <v>45949</v>
      </c>
      <c r="AG5" s="50">
        <f t="shared" si="0"/>
        <v>45950</v>
      </c>
      <c r="AH5" s="50">
        <f t="shared" si="0"/>
        <v>45951</v>
      </c>
      <c r="AI5" s="50">
        <f t="shared" si="0"/>
        <v>45952</v>
      </c>
      <c r="AJ5" s="50">
        <f t="shared" si="0"/>
        <v>45953</v>
      </c>
      <c r="AK5" s="50">
        <f t="shared" si="0"/>
        <v>45954</v>
      </c>
      <c r="AL5" s="50">
        <f t="shared" si="0"/>
        <v>45955</v>
      </c>
      <c r="AM5" s="50">
        <f t="shared" si="0"/>
        <v>45956</v>
      </c>
      <c r="AN5" s="50">
        <f t="shared" si="0"/>
        <v>45957</v>
      </c>
      <c r="AO5" s="50">
        <f t="shared" si="0"/>
        <v>45958</v>
      </c>
      <c r="AP5" s="50">
        <f t="shared" si="0"/>
        <v>45959</v>
      </c>
      <c r="AQ5" s="50">
        <f t="shared" si="0"/>
        <v>45960</v>
      </c>
      <c r="AR5" s="50">
        <f t="shared" si="0"/>
        <v>45961</v>
      </c>
      <c r="AS5" s="50">
        <f t="shared" si="0"/>
        <v>45962</v>
      </c>
      <c r="AT5" s="50">
        <f t="shared" si="0"/>
        <v>45963</v>
      </c>
      <c r="AU5" s="50">
        <f t="shared" si="0"/>
        <v>45964</v>
      </c>
      <c r="AV5" s="50">
        <f t="shared" si="0"/>
        <v>45965</v>
      </c>
      <c r="AW5" s="50">
        <f t="shared" si="0"/>
        <v>45966</v>
      </c>
      <c r="AX5" s="50">
        <f t="shared" si="0"/>
        <v>45967</v>
      </c>
      <c r="AY5" s="50">
        <f t="shared" si="0"/>
        <v>45968</v>
      </c>
      <c r="AZ5" s="50">
        <f t="shared" si="0"/>
        <v>45969</v>
      </c>
      <c r="BA5" s="50">
        <f t="shared" si="0"/>
        <v>45970</v>
      </c>
      <c r="BB5" s="50">
        <f t="shared" si="0"/>
        <v>45971</v>
      </c>
      <c r="BC5" s="50">
        <f t="shared" si="0"/>
        <v>45972</v>
      </c>
      <c r="BD5" s="50">
        <f t="shared" si="0"/>
        <v>45973</v>
      </c>
      <c r="BE5" s="50">
        <f t="shared" si="0"/>
        <v>45974</v>
      </c>
      <c r="BF5" s="50">
        <f t="shared" si="0"/>
        <v>45975</v>
      </c>
      <c r="BG5" s="50">
        <f t="shared" si="0"/>
        <v>45976</v>
      </c>
      <c r="BH5" s="50">
        <f t="shared" si="0"/>
        <v>45977</v>
      </c>
      <c r="BI5" s="50">
        <f t="shared" si="0"/>
        <v>45978</v>
      </c>
      <c r="BJ5" s="50">
        <f t="shared" si="0"/>
        <v>45979</v>
      </c>
      <c r="BK5" s="50">
        <f t="shared" si="0"/>
        <v>45980</v>
      </c>
      <c r="BL5" s="50">
        <f t="shared" si="0"/>
        <v>45981</v>
      </c>
      <c r="BM5" s="50">
        <f t="shared" si="0"/>
        <v>45982</v>
      </c>
      <c r="BN5" s="50">
        <f t="shared" si="0"/>
        <v>45983</v>
      </c>
      <c r="BO5" s="50">
        <f t="shared" si="0"/>
        <v>45984</v>
      </c>
      <c r="BP5" s="50">
        <f t="shared" si="0"/>
        <v>45985</v>
      </c>
      <c r="BQ5" s="50">
        <f t="shared" si="0"/>
        <v>45986</v>
      </c>
      <c r="BR5" s="50">
        <f t="shared" si="0"/>
        <v>45987</v>
      </c>
      <c r="BS5" s="50">
        <f t="shared" si="0"/>
        <v>45988</v>
      </c>
      <c r="BT5" s="50">
        <f t="shared" si="0"/>
        <v>45989</v>
      </c>
      <c r="BU5" s="50">
        <f t="shared" si="0"/>
        <v>45990</v>
      </c>
      <c r="BV5" s="50">
        <f t="shared" si="0"/>
        <v>45991</v>
      </c>
      <c r="BW5" s="50">
        <f t="shared" si="0"/>
        <v>45992</v>
      </c>
      <c r="BX5" s="50">
        <f t="shared" si="0"/>
        <v>45993</v>
      </c>
      <c r="BY5" s="50">
        <f t="shared" ref="BY5:EJ5" si="1">IF(display_weekend,BX5+1,WORKDAY.INTL(BX5,1,weekend,holidays))</f>
        <v>45994</v>
      </c>
      <c r="BZ5" s="50">
        <f t="shared" si="1"/>
        <v>45995</v>
      </c>
      <c r="CA5" s="50">
        <f t="shared" si="1"/>
        <v>45996</v>
      </c>
      <c r="CB5" s="50">
        <f t="shared" si="1"/>
        <v>45997</v>
      </c>
      <c r="CC5" s="50">
        <f t="shared" si="1"/>
        <v>45998</v>
      </c>
      <c r="CD5" s="50">
        <f t="shared" si="1"/>
        <v>45999</v>
      </c>
      <c r="CE5" s="50">
        <f t="shared" si="1"/>
        <v>46000</v>
      </c>
      <c r="CF5" s="50">
        <f t="shared" si="1"/>
        <v>46001</v>
      </c>
      <c r="CG5" s="50">
        <f t="shared" si="1"/>
        <v>46002</v>
      </c>
      <c r="CH5" s="50">
        <f t="shared" si="1"/>
        <v>46003</v>
      </c>
      <c r="CI5" s="50">
        <f t="shared" si="1"/>
        <v>46004</v>
      </c>
      <c r="CJ5" s="50">
        <f t="shared" si="1"/>
        <v>46005</v>
      </c>
      <c r="CK5" s="50">
        <f t="shared" si="1"/>
        <v>46006</v>
      </c>
      <c r="CL5" s="50">
        <f t="shared" si="1"/>
        <v>46007</v>
      </c>
      <c r="CM5" s="50">
        <f t="shared" si="1"/>
        <v>46008</v>
      </c>
      <c r="CN5" s="50">
        <f t="shared" si="1"/>
        <v>46009</v>
      </c>
      <c r="CO5" s="50">
        <f t="shared" si="1"/>
        <v>46010</v>
      </c>
      <c r="CP5" s="50">
        <f t="shared" si="1"/>
        <v>46011</v>
      </c>
      <c r="CQ5" s="50">
        <f t="shared" si="1"/>
        <v>46012</v>
      </c>
      <c r="CR5" s="50">
        <f t="shared" si="1"/>
        <v>46013</v>
      </c>
      <c r="CS5" s="50">
        <f t="shared" si="1"/>
        <v>46014</v>
      </c>
      <c r="CT5" s="50">
        <f t="shared" si="1"/>
        <v>46015</v>
      </c>
      <c r="CU5" s="50">
        <f t="shared" si="1"/>
        <v>46016</v>
      </c>
      <c r="CV5" s="50">
        <f t="shared" si="1"/>
        <v>46017</v>
      </c>
      <c r="CW5" s="50">
        <f t="shared" si="1"/>
        <v>46018</v>
      </c>
      <c r="CX5" s="50">
        <f t="shared" si="1"/>
        <v>46019</v>
      </c>
      <c r="CY5" s="50">
        <f t="shared" si="1"/>
        <v>46020</v>
      </c>
      <c r="CZ5" s="50">
        <f t="shared" si="1"/>
        <v>46021</v>
      </c>
      <c r="DA5" s="50">
        <f t="shared" si="1"/>
        <v>46022</v>
      </c>
      <c r="DB5" s="50">
        <f t="shared" si="1"/>
        <v>46023</v>
      </c>
      <c r="DC5" s="50">
        <f t="shared" si="1"/>
        <v>46024</v>
      </c>
      <c r="DD5" s="50">
        <f t="shared" si="1"/>
        <v>46025</v>
      </c>
      <c r="DE5" s="50">
        <f t="shared" si="1"/>
        <v>46026</v>
      </c>
      <c r="DF5" s="50">
        <f t="shared" si="1"/>
        <v>46027</v>
      </c>
      <c r="DG5" s="50">
        <f t="shared" si="1"/>
        <v>46028</v>
      </c>
      <c r="DH5" s="50">
        <f t="shared" si="1"/>
        <v>46029</v>
      </c>
      <c r="DI5" s="50">
        <f t="shared" si="1"/>
        <v>46030</v>
      </c>
      <c r="DJ5" s="50">
        <f t="shared" si="1"/>
        <v>46031</v>
      </c>
      <c r="DK5" s="50">
        <f t="shared" si="1"/>
        <v>46032</v>
      </c>
      <c r="DL5" s="50">
        <f t="shared" si="1"/>
        <v>46033</v>
      </c>
      <c r="DM5" s="50">
        <f t="shared" si="1"/>
        <v>46034</v>
      </c>
      <c r="DN5" s="50">
        <f t="shared" si="1"/>
        <v>46035</v>
      </c>
      <c r="DO5" s="50">
        <f t="shared" si="1"/>
        <v>46036</v>
      </c>
      <c r="DP5" s="50">
        <f t="shared" si="1"/>
        <v>46037</v>
      </c>
      <c r="DQ5" s="50">
        <f t="shared" si="1"/>
        <v>46038</v>
      </c>
      <c r="DR5" s="50">
        <f t="shared" si="1"/>
        <v>46039</v>
      </c>
      <c r="DS5" s="50">
        <f t="shared" si="1"/>
        <v>46040</v>
      </c>
      <c r="DT5" s="50">
        <f t="shared" si="1"/>
        <v>46041</v>
      </c>
      <c r="DU5" s="50">
        <f t="shared" si="1"/>
        <v>46042</v>
      </c>
      <c r="DV5" s="50">
        <f t="shared" si="1"/>
        <v>46043</v>
      </c>
      <c r="DW5" s="50">
        <f t="shared" si="1"/>
        <v>46044</v>
      </c>
      <c r="DX5" s="50">
        <f t="shared" si="1"/>
        <v>46045</v>
      </c>
      <c r="DY5" s="50">
        <f t="shared" si="1"/>
        <v>46046</v>
      </c>
      <c r="DZ5" s="50">
        <f t="shared" si="1"/>
        <v>46047</v>
      </c>
      <c r="EA5" s="50">
        <f t="shared" si="1"/>
        <v>46048</v>
      </c>
      <c r="EB5" s="50">
        <f t="shared" si="1"/>
        <v>46049</v>
      </c>
      <c r="EC5" s="50">
        <f t="shared" si="1"/>
        <v>46050</v>
      </c>
      <c r="ED5" s="50">
        <f t="shared" si="1"/>
        <v>46051</v>
      </c>
      <c r="EE5" s="50">
        <f t="shared" si="1"/>
        <v>46052</v>
      </c>
      <c r="EF5" s="50">
        <f t="shared" si="1"/>
        <v>46053</v>
      </c>
      <c r="EG5" s="50">
        <f t="shared" si="1"/>
        <v>46054</v>
      </c>
      <c r="EH5" s="50">
        <f t="shared" si="1"/>
        <v>46055</v>
      </c>
      <c r="EI5" s="50">
        <f t="shared" si="1"/>
        <v>46056</v>
      </c>
      <c r="EJ5" s="50">
        <f t="shared" si="1"/>
        <v>46057</v>
      </c>
      <c r="EK5" s="50">
        <f t="shared" ref="EK5:GV5" si="2">IF(display_weekend,EJ5+1,WORKDAY.INTL(EJ5,1,weekend,holidays))</f>
        <v>46058</v>
      </c>
      <c r="EL5" s="50">
        <f t="shared" si="2"/>
        <v>46059</v>
      </c>
      <c r="EM5" s="50">
        <f t="shared" si="2"/>
        <v>46060</v>
      </c>
      <c r="EN5" s="50">
        <f t="shared" si="2"/>
        <v>46061</v>
      </c>
      <c r="EO5" s="50">
        <f t="shared" si="2"/>
        <v>46062</v>
      </c>
      <c r="EP5" s="50">
        <f t="shared" si="2"/>
        <v>46063</v>
      </c>
      <c r="EQ5" s="50">
        <f t="shared" si="2"/>
        <v>46064</v>
      </c>
      <c r="ER5" s="50">
        <f t="shared" si="2"/>
        <v>46065</v>
      </c>
      <c r="ES5" s="50">
        <f t="shared" si="2"/>
        <v>46066</v>
      </c>
      <c r="ET5" s="50">
        <f t="shared" si="2"/>
        <v>46067</v>
      </c>
      <c r="EU5" s="50">
        <f t="shared" si="2"/>
        <v>46068</v>
      </c>
      <c r="EV5" s="50">
        <f t="shared" si="2"/>
        <v>46069</v>
      </c>
      <c r="EW5" s="50">
        <f t="shared" si="2"/>
        <v>46070</v>
      </c>
      <c r="EX5" s="50">
        <f t="shared" si="2"/>
        <v>46071</v>
      </c>
      <c r="EY5" s="50">
        <f t="shared" si="2"/>
        <v>46072</v>
      </c>
      <c r="EZ5" s="50">
        <f t="shared" si="2"/>
        <v>46073</v>
      </c>
      <c r="FA5" s="50">
        <f t="shared" si="2"/>
        <v>46074</v>
      </c>
      <c r="FB5" s="50">
        <f t="shared" si="2"/>
        <v>46075</v>
      </c>
      <c r="FC5" s="50">
        <f t="shared" si="2"/>
        <v>46076</v>
      </c>
      <c r="FD5" s="50">
        <f t="shared" si="2"/>
        <v>46077</v>
      </c>
      <c r="FE5" s="50">
        <f t="shared" si="2"/>
        <v>46078</v>
      </c>
      <c r="FF5" s="50">
        <f t="shared" si="2"/>
        <v>46079</v>
      </c>
      <c r="FG5" s="50">
        <f t="shared" si="2"/>
        <v>46080</v>
      </c>
      <c r="FH5" s="50">
        <f t="shared" si="2"/>
        <v>46081</v>
      </c>
      <c r="FI5" s="50">
        <f t="shared" si="2"/>
        <v>46082</v>
      </c>
      <c r="FJ5" s="50">
        <f t="shared" si="2"/>
        <v>46083</v>
      </c>
      <c r="FK5" s="50">
        <f t="shared" si="2"/>
        <v>46084</v>
      </c>
      <c r="FL5" s="50">
        <f t="shared" si="2"/>
        <v>46085</v>
      </c>
      <c r="FM5" s="50">
        <f t="shared" si="2"/>
        <v>46086</v>
      </c>
      <c r="FN5" s="50">
        <f t="shared" si="2"/>
        <v>46087</v>
      </c>
      <c r="FO5" s="50">
        <f t="shared" si="2"/>
        <v>46088</v>
      </c>
      <c r="FP5" s="50">
        <f t="shared" si="2"/>
        <v>46089</v>
      </c>
      <c r="FQ5" s="50">
        <f t="shared" si="2"/>
        <v>46090</v>
      </c>
      <c r="FR5" s="50">
        <f t="shared" si="2"/>
        <v>46091</v>
      </c>
      <c r="FS5" s="50">
        <f t="shared" si="2"/>
        <v>46092</v>
      </c>
      <c r="FT5" s="50">
        <f t="shared" si="2"/>
        <v>46093</v>
      </c>
      <c r="FU5" s="50">
        <f t="shared" si="2"/>
        <v>46094</v>
      </c>
      <c r="FV5" s="50">
        <f t="shared" si="2"/>
        <v>46095</v>
      </c>
      <c r="FW5" s="50">
        <f t="shared" si="2"/>
        <v>46096</v>
      </c>
      <c r="FX5" s="50">
        <f t="shared" si="2"/>
        <v>46097</v>
      </c>
      <c r="FY5" s="50">
        <f t="shared" si="2"/>
        <v>46098</v>
      </c>
      <c r="FZ5" s="50">
        <f t="shared" si="2"/>
        <v>46099</v>
      </c>
      <c r="GA5" s="50">
        <f t="shared" si="2"/>
        <v>46100</v>
      </c>
      <c r="GB5" s="50">
        <f t="shared" si="2"/>
        <v>46101</v>
      </c>
      <c r="GC5" s="50">
        <f t="shared" si="2"/>
        <v>46102</v>
      </c>
      <c r="GD5" s="50">
        <f t="shared" si="2"/>
        <v>46103</v>
      </c>
      <c r="GE5" s="50">
        <f t="shared" si="2"/>
        <v>46104</v>
      </c>
      <c r="GF5" s="50">
        <f t="shared" si="2"/>
        <v>46105</v>
      </c>
      <c r="GG5" s="50">
        <f t="shared" si="2"/>
        <v>46106</v>
      </c>
      <c r="GH5" s="50">
        <f t="shared" si="2"/>
        <v>46107</v>
      </c>
      <c r="GI5" s="50">
        <f t="shared" si="2"/>
        <v>46108</v>
      </c>
      <c r="GJ5" s="50">
        <f t="shared" si="2"/>
        <v>46109</v>
      </c>
      <c r="GK5" s="50">
        <f t="shared" si="2"/>
        <v>46110</v>
      </c>
      <c r="GL5" s="50">
        <f t="shared" si="2"/>
        <v>46111</v>
      </c>
      <c r="GM5" s="50">
        <f t="shared" si="2"/>
        <v>46112</v>
      </c>
      <c r="GN5" s="50">
        <f t="shared" si="2"/>
        <v>46113</v>
      </c>
      <c r="GO5" s="50">
        <f t="shared" si="2"/>
        <v>46114</v>
      </c>
      <c r="GP5" s="50">
        <f t="shared" si="2"/>
        <v>46115</v>
      </c>
      <c r="GQ5" s="50">
        <f t="shared" si="2"/>
        <v>46116</v>
      </c>
      <c r="GR5" s="50">
        <f t="shared" si="2"/>
        <v>46117</v>
      </c>
      <c r="GS5" s="50">
        <f t="shared" si="2"/>
        <v>46118</v>
      </c>
      <c r="GT5" s="50">
        <f t="shared" si="2"/>
        <v>46119</v>
      </c>
      <c r="GU5" s="50">
        <f t="shared" si="2"/>
        <v>46120</v>
      </c>
      <c r="GV5" s="50">
        <f t="shared" si="2"/>
        <v>46121</v>
      </c>
      <c r="GW5" s="50">
        <f t="shared" ref="GW5:JH5" si="3">IF(display_weekend,GV5+1,WORKDAY.INTL(GV5,1,weekend,holidays))</f>
        <v>46122</v>
      </c>
      <c r="GX5" s="50">
        <f t="shared" si="3"/>
        <v>46123</v>
      </c>
      <c r="GY5" s="50">
        <f t="shared" si="3"/>
        <v>46124</v>
      </c>
      <c r="GZ5" s="50">
        <f t="shared" si="3"/>
        <v>46125</v>
      </c>
      <c r="HA5" s="50">
        <f t="shared" si="3"/>
        <v>46126</v>
      </c>
      <c r="HB5" s="50">
        <f t="shared" si="3"/>
        <v>46127</v>
      </c>
      <c r="HC5" s="50">
        <f t="shared" si="3"/>
        <v>46128</v>
      </c>
      <c r="HD5" s="50">
        <f t="shared" si="3"/>
        <v>46129</v>
      </c>
      <c r="HE5" s="50">
        <f t="shared" si="3"/>
        <v>46130</v>
      </c>
      <c r="HF5" s="50">
        <f t="shared" si="3"/>
        <v>46131</v>
      </c>
      <c r="HG5" s="50">
        <f t="shared" si="3"/>
        <v>46132</v>
      </c>
      <c r="HH5" s="50">
        <f t="shared" si="3"/>
        <v>46133</v>
      </c>
      <c r="HI5" s="50">
        <f t="shared" si="3"/>
        <v>46134</v>
      </c>
      <c r="HJ5" s="50">
        <f t="shared" si="3"/>
        <v>46135</v>
      </c>
      <c r="HK5" s="50">
        <f t="shared" si="3"/>
        <v>46136</v>
      </c>
      <c r="HL5" s="50">
        <f t="shared" si="3"/>
        <v>46137</v>
      </c>
      <c r="HM5" s="50">
        <f t="shared" si="3"/>
        <v>46138</v>
      </c>
      <c r="HN5" s="50">
        <f t="shared" si="3"/>
        <v>46139</v>
      </c>
      <c r="HO5" s="50">
        <f t="shared" si="3"/>
        <v>46140</v>
      </c>
      <c r="HP5" s="50">
        <f t="shared" si="3"/>
        <v>46141</v>
      </c>
      <c r="HQ5" s="50">
        <f t="shared" si="3"/>
        <v>46142</v>
      </c>
      <c r="HR5" s="50">
        <f t="shared" si="3"/>
        <v>46143</v>
      </c>
      <c r="HS5" s="50">
        <f t="shared" si="3"/>
        <v>46144</v>
      </c>
      <c r="HT5" s="50">
        <f t="shared" si="3"/>
        <v>46145</v>
      </c>
      <c r="HU5" s="50">
        <f t="shared" si="3"/>
        <v>46146</v>
      </c>
      <c r="HV5" s="50">
        <f t="shared" si="3"/>
        <v>46147</v>
      </c>
      <c r="HW5" s="50">
        <f t="shared" si="3"/>
        <v>46148</v>
      </c>
      <c r="HX5" s="50">
        <f t="shared" si="3"/>
        <v>46149</v>
      </c>
      <c r="HY5" s="50">
        <f t="shared" si="3"/>
        <v>46150</v>
      </c>
      <c r="HZ5" s="50">
        <f t="shared" si="3"/>
        <v>46151</v>
      </c>
      <c r="IA5" s="50">
        <f t="shared" si="3"/>
        <v>46152</v>
      </c>
      <c r="IB5" s="50">
        <f t="shared" si="3"/>
        <v>46153</v>
      </c>
      <c r="IC5" s="50">
        <f t="shared" si="3"/>
        <v>46154</v>
      </c>
      <c r="ID5" s="50">
        <f t="shared" si="3"/>
        <v>46155</v>
      </c>
      <c r="IE5" s="50">
        <f t="shared" si="3"/>
        <v>46156</v>
      </c>
      <c r="IF5" s="50">
        <f t="shared" si="3"/>
        <v>46157</v>
      </c>
      <c r="IG5" s="50">
        <f t="shared" si="3"/>
        <v>46158</v>
      </c>
      <c r="IH5" s="50">
        <f t="shared" si="3"/>
        <v>46159</v>
      </c>
      <c r="II5" s="50">
        <f t="shared" si="3"/>
        <v>46160</v>
      </c>
      <c r="IJ5" s="50">
        <f t="shared" si="3"/>
        <v>46161</v>
      </c>
      <c r="IK5" s="50">
        <f t="shared" si="3"/>
        <v>46162</v>
      </c>
      <c r="IL5" s="50">
        <f t="shared" si="3"/>
        <v>46163</v>
      </c>
      <c r="IM5" s="50">
        <f t="shared" si="3"/>
        <v>46164</v>
      </c>
      <c r="IN5" s="50">
        <f t="shared" si="3"/>
        <v>46165</v>
      </c>
      <c r="IO5" s="50">
        <f t="shared" si="3"/>
        <v>46166</v>
      </c>
      <c r="IP5" s="50">
        <f t="shared" si="3"/>
        <v>46167</v>
      </c>
      <c r="IQ5" s="50">
        <f t="shared" si="3"/>
        <v>46168</v>
      </c>
      <c r="IR5" s="50">
        <f t="shared" si="3"/>
        <v>46169</v>
      </c>
      <c r="IS5" s="50">
        <f t="shared" si="3"/>
        <v>46170</v>
      </c>
      <c r="IT5" s="50">
        <f t="shared" si="3"/>
        <v>46171</v>
      </c>
      <c r="IU5" s="50">
        <f t="shared" si="3"/>
        <v>46172</v>
      </c>
      <c r="IV5" s="50">
        <f t="shared" si="3"/>
        <v>46173</v>
      </c>
      <c r="IW5" s="50">
        <f t="shared" si="3"/>
        <v>46174</v>
      </c>
      <c r="IX5" s="50">
        <f t="shared" si="3"/>
        <v>46175</v>
      </c>
      <c r="IY5" s="50">
        <f t="shared" si="3"/>
        <v>46176</v>
      </c>
      <c r="IZ5" s="50">
        <f t="shared" si="3"/>
        <v>46177</v>
      </c>
      <c r="JA5" s="50">
        <f t="shared" si="3"/>
        <v>46178</v>
      </c>
      <c r="JB5" s="50">
        <f t="shared" si="3"/>
        <v>46179</v>
      </c>
      <c r="JC5" s="50">
        <f t="shared" si="3"/>
        <v>46180</v>
      </c>
      <c r="JD5" s="50">
        <f t="shared" si="3"/>
        <v>46181</v>
      </c>
      <c r="JE5" s="50">
        <f t="shared" si="3"/>
        <v>46182</v>
      </c>
      <c r="JF5" s="50">
        <f t="shared" si="3"/>
        <v>46183</v>
      </c>
      <c r="JG5" s="50">
        <f t="shared" si="3"/>
        <v>46184</v>
      </c>
      <c r="JH5" s="50">
        <f t="shared" si="3"/>
        <v>46185</v>
      </c>
      <c r="JI5" s="50">
        <f t="shared" ref="JI5:JW5" si="4">IF(display_weekend,JH5+1,WORKDAY.INTL(JH5,1,weekend,holidays))</f>
        <v>46186</v>
      </c>
      <c r="JJ5" s="50">
        <f t="shared" si="4"/>
        <v>46187</v>
      </c>
      <c r="JK5" s="50">
        <f t="shared" si="4"/>
        <v>46188</v>
      </c>
      <c r="JL5" s="50">
        <f t="shared" si="4"/>
        <v>46189</v>
      </c>
      <c r="JM5" s="50">
        <f t="shared" si="4"/>
        <v>46190</v>
      </c>
      <c r="JN5" s="50">
        <f t="shared" si="4"/>
        <v>46191</v>
      </c>
      <c r="JO5" s="50">
        <f t="shared" si="4"/>
        <v>46192</v>
      </c>
      <c r="JP5" s="50">
        <f t="shared" si="4"/>
        <v>46193</v>
      </c>
      <c r="JQ5" s="50">
        <f t="shared" si="4"/>
        <v>46194</v>
      </c>
      <c r="JR5" s="50">
        <f t="shared" si="4"/>
        <v>46195</v>
      </c>
      <c r="JS5" s="50">
        <f t="shared" si="4"/>
        <v>46196</v>
      </c>
      <c r="JT5" s="50">
        <f t="shared" si="4"/>
        <v>46197</v>
      </c>
      <c r="JU5" s="50">
        <f t="shared" si="4"/>
        <v>46198</v>
      </c>
      <c r="JV5" s="50">
        <f t="shared" si="4"/>
        <v>46199</v>
      </c>
      <c r="JW5" s="50">
        <f t="shared" si="4"/>
        <v>46200</v>
      </c>
    </row>
    <row r="6" spans="2:283" ht="30" customHeight="1" x14ac:dyDescent="0.25">
      <c r="F6" s="3"/>
      <c r="G6" s="3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0"/>
      <c r="DT6" s="50"/>
      <c r="DU6" s="50"/>
      <c r="DV6" s="50"/>
      <c r="DW6" s="50"/>
      <c r="DX6" s="50"/>
      <c r="DY6" s="50"/>
      <c r="DZ6" s="50"/>
      <c r="EA6" s="50"/>
      <c r="EB6" s="50"/>
      <c r="EC6" s="50"/>
      <c r="ED6" s="50"/>
      <c r="EE6" s="50"/>
      <c r="EF6" s="50"/>
      <c r="EG6" s="50"/>
      <c r="EH6" s="50"/>
      <c r="EI6" s="50"/>
      <c r="EJ6" s="50"/>
      <c r="EK6" s="50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50"/>
      <c r="FP6" s="50"/>
      <c r="FQ6" s="50"/>
      <c r="FR6" s="50"/>
      <c r="FS6" s="50"/>
      <c r="FT6" s="50"/>
      <c r="FU6" s="50"/>
      <c r="FV6" s="50"/>
      <c r="FW6" s="50"/>
      <c r="FX6" s="50"/>
      <c r="FY6" s="50"/>
      <c r="FZ6" s="50"/>
      <c r="GA6" s="50"/>
      <c r="GB6" s="50"/>
      <c r="GC6" s="50"/>
      <c r="GD6" s="50"/>
      <c r="GE6" s="50"/>
      <c r="GF6" s="50"/>
      <c r="GG6" s="50"/>
      <c r="GH6" s="50"/>
      <c r="GI6" s="50"/>
      <c r="GJ6" s="50"/>
      <c r="GK6" s="50"/>
      <c r="GL6" s="50"/>
      <c r="GM6" s="50"/>
      <c r="GN6" s="50"/>
      <c r="GO6" s="50"/>
      <c r="GP6" s="50"/>
      <c r="GQ6" s="50"/>
      <c r="GR6" s="50"/>
      <c r="GS6" s="50"/>
      <c r="GT6" s="50"/>
      <c r="GU6" s="50"/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0"/>
      <c r="IE6" s="50"/>
      <c r="IF6" s="50"/>
      <c r="IG6" s="50"/>
      <c r="IH6" s="50"/>
      <c r="II6" s="50"/>
      <c r="IJ6" s="50"/>
      <c r="IK6" s="50"/>
      <c r="IL6" s="50"/>
      <c r="IM6" s="50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</row>
    <row r="7" spans="2:283" ht="38.25" customHeight="1" x14ac:dyDescent="0.25">
      <c r="B7" s="49" t="s">
        <v>28</v>
      </c>
      <c r="C7" s="31" t="s">
        <v>4</v>
      </c>
      <c r="D7" s="51" t="s">
        <v>41</v>
      </c>
      <c r="E7" s="51"/>
      <c r="F7" s="31" t="s">
        <v>5</v>
      </c>
      <c r="G7" s="32" t="s">
        <v>25</v>
      </c>
      <c r="H7" s="31" t="s">
        <v>2</v>
      </c>
      <c r="I7" s="33" t="s">
        <v>37</v>
      </c>
      <c r="J7" s="34" t="s">
        <v>3</v>
      </c>
      <c r="K7" s="30"/>
      <c r="L7" s="8" t="str">
        <f>UPPER(LEFT(TEXT(L5,"jjj"),1))</f>
        <v>L</v>
      </c>
      <c r="M7" s="8" t="str">
        <f t="shared" ref="M7:BW7" si="5">UPPER(LEFT(TEXT(M5,"jjj"),1))</f>
        <v>M</v>
      </c>
      <c r="N7" s="8" t="str">
        <f t="shared" si="5"/>
        <v>M</v>
      </c>
      <c r="O7" s="8" t="str">
        <f t="shared" si="5"/>
        <v>J</v>
      </c>
      <c r="P7" s="8" t="str">
        <f t="shared" si="5"/>
        <v>V</v>
      </c>
      <c r="Q7" s="8" t="str">
        <f t="shared" si="5"/>
        <v>S</v>
      </c>
      <c r="R7" s="8" t="str">
        <f t="shared" si="5"/>
        <v>D</v>
      </c>
      <c r="S7" s="8" t="str">
        <f t="shared" si="5"/>
        <v>L</v>
      </c>
      <c r="T7" s="8" t="str">
        <f t="shared" si="5"/>
        <v>M</v>
      </c>
      <c r="U7" s="8" t="str">
        <f t="shared" si="5"/>
        <v>M</v>
      </c>
      <c r="V7" s="8" t="str">
        <f t="shared" si="5"/>
        <v>J</v>
      </c>
      <c r="W7" s="8" t="str">
        <f t="shared" si="5"/>
        <v>V</v>
      </c>
      <c r="X7" s="8" t="str">
        <f t="shared" si="5"/>
        <v>S</v>
      </c>
      <c r="Y7" s="8" t="str">
        <f t="shared" si="5"/>
        <v>D</v>
      </c>
      <c r="Z7" s="8" t="str">
        <f t="shared" si="5"/>
        <v>L</v>
      </c>
      <c r="AA7" s="8" t="str">
        <f t="shared" si="5"/>
        <v>M</v>
      </c>
      <c r="AB7" s="8" t="str">
        <f t="shared" si="5"/>
        <v>M</v>
      </c>
      <c r="AC7" s="8" t="str">
        <f t="shared" si="5"/>
        <v>J</v>
      </c>
      <c r="AD7" s="8" t="str">
        <f t="shared" si="5"/>
        <v>V</v>
      </c>
      <c r="AE7" s="8" t="str">
        <f t="shared" si="5"/>
        <v>S</v>
      </c>
      <c r="AF7" s="8" t="str">
        <f t="shared" si="5"/>
        <v>D</v>
      </c>
      <c r="AG7" s="8" t="str">
        <f t="shared" si="5"/>
        <v>L</v>
      </c>
      <c r="AH7" s="8" t="str">
        <f t="shared" si="5"/>
        <v>M</v>
      </c>
      <c r="AI7" s="8" t="str">
        <f t="shared" si="5"/>
        <v>M</v>
      </c>
      <c r="AJ7" s="8" t="str">
        <f t="shared" si="5"/>
        <v>J</v>
      </c>
      <c r="AK7" s="8" t="str">
        <f t="shared" si="5"/>
        <v>V</v>
      </c>
      <c r="AL7" s="8" t="str">
        <f t="shared" si="5"/>
        <v>S</v>
      </c>
      <c r="AM7" s="8" t="str">
        <f t="shared" si="5"/>
        <v>D</v>
      </c>
      <c r="AN7" s="8" t="str">
        <f t="shared" si="5"/>
        <v>L</v>
      </c>
      <c r="AO7" s="8" t="str">
        <f t="shared" si="5"/>
        <v>M</v>
      </c>
      <c r="AP7" s="8" t="str">
        <f t="shared" si="5"/>
        <v>M</v>
      </c>
      <c r="AQ7" s="8" t="str">
        <f t="shared" si="5"/>
        <v>J</v>
      </c>
      <c r="AR7" s="8" t="str">
        <f t="shared" si="5"/>
        <v>V</v>
      </c>
      <c r="AS7" s="8" t="str">
        <f t="shared" si="5"/>
        <v>S</v>
      </c>
      <c r="AT7" s="8" t="str">
        <f t="shared" si="5"/>
        <v>D</v>
      </c>
      <c r="AU7" s="8" t="str">
        <f t="shared" si="5"/>
        <v>L</v>
      </c>
      <c r="AV7" s="8" t="str">
        <f t="shared" si="5"/>
        <v>M</v>
      </c>
      <c r="AW7" s="8" t="str">
        <f t="shared" si="5"/>
        <v>M</v>
      </c>
      <c r="AX7" s="8" t="str">
        <f t="shared" si="5"/>
        <v>J</v>
      </c>
      <c r="AY7" s="8" t="str">
        <f t="shared" si="5"/>
        <v>V</v>
      </c>
      <c r="AZ7" s="8" t="str">
        <f t="shared" si="5"/>
        <v>S</v>
      </c>
      <c r="BA7" s="8" t="str">
        <f t="shared" si="5"/>
        <v>D</v>
      </c>
      <c r="BB7" s="8" t="str">
        <f t="shared" si="5"/>
        <v>L</v>
      </c>
      <c r="BC7" s="8" t="str">
        <f t="shared" si="5"/>
        <v>M</v>
      </c>
      <c r="BD7" s="8" t="str">
        <f t="shared" si="5"/>
        <v>M</v>
      </c>
      <c r="BE7" s="8" t="str">
        <f t="shared" si="5"/>
        <v>J</v>
      </c>
      <c r="BF7" s="8" t="str">
        <f t="shared" si="5"/>
        <v>V</v>
      </c>
      <c r="BG7" s="8" t="str">
        <f t="shared" si="5"/>
        <v>S</v>
      </c>
      <c r="BH7" s="8" t="str">
        <f t="shared" si="5"/>
        <v>D</v>
      </c>
      <c r="BI7" s="8" t="str">
        <f t="shared" si="5"/>
        <v>L</v>
      </c>
      <c r="BJ7" s="8" t="str">
        <f t="shared" si="5"/>
        <v>M</v>
      </c>
      <c r="BK7" s="8" t="str">
        <f t="shared" si="5"/>
        <v>M</v>
      </c>
      <c r="BL7" s="8" t="str">
        <f t="shared" si="5"/>
        <v>J</v>
      </c>
      <c r="BM7" s="8" t="str">
        <f t="shared" si="5"/>
        <v>V</v>
      </c>
      <c r="BN7" s="8" t="str">
        <f t="shared" si="5"/>
        <v>S</v>
      </c>
      <c r="BO7" s="8" t="str">
        <f t="shared" si="5"/>
        <v>D</v>
      </c>
      <c r="BP7" s="8" t="str">
        <f t="shared" si="5"/>
        <v>L</v>
      </c>
      <c r="BQ7" s="8" t="str">
        <f t="shared" si="5"/>
        <v>M</v>
      </c>
      <c r="BR7" s="8" t="str">
        <f t="shared" si="5"/>
        <v>M</v>
      </c>
      <c r="BS7" s="8" t="str">
        <f t="shared" si="5"/>
        <v>J</v>
      </c>
      <c r="BT7" s="8" t="str">
        <f t="shared" si="5"/>
        <v>V</v>
      </c>
      <c r="BU7" s="8" t="str">
        <f t="shared" si="5"/>
        <v>S</v>
      </c>
      <c r="BV7" s="8" t="str">
        <f t="shared" si="5"/>
        <v>D</v>
      </c>
      <c r="BW7" s="8" t="str">
        <f t="shared" si="5"/>
        <v>L</v>
      </c>
      <c r="BX7" s="8" t="str">
        <f t="shared" ref="BX7:EI7" si="6">UPPER(LEFT(TEXT(BX5,"jjj"),1))</f>
        <v>M</v>
      </c>
      <c r="BY7" s="8" t="str">
        <f t="shared" si="6"/>
        <v>M</v>
      </c>
      <c r="BZ7" s="8" t="str">
        <f t="shared" si="6"/>
        <v>J</v>
      </c>
      <c r="CA7" s="8" t="str">
        <f t="shared" si="6"/>
        <v>V</v>
      </c>
      <c r="CB7" s="8" t="str">
        <f t="shared" si="6"/>
        <v>S</v>
      </c>
      <c r="CC7" s="8" t="str">
        <f t="shared" si="6"/>
        <v>D</v>
      </c>
      <c r="CD7" s="8" t="str">
        <f t="shared" si="6"/>
        <v>L</v>
      </c>
      <c r="CE7" s="8" t="str">
        <f t="shared" si="6"/>
        <v>M</v>
      </c>
      <c r="CF7" s="8" t="str">
        <f t="shared" si="6"/>
        <v>M</v>
      </c>
      <c r="CG7" s="8" t="str">
        <f t="shared" si="6"/>
        <v>J</v>
      </c>
      <c r="CH7" s="8" t="str">
        <f t="shared" si="6"/>
        <v>V</v>
      </c>
      <c r="CI7" s="8" t="str">
        <f t="shared" si="6"/>
        <v>S</v>
      </c>
      <c r="CJ7" s="8" t="str">
        <f t="shared" si="6"/>
        <v>D</v>
      </c>
      <c r="CK7" s="8" t="str">
        <f t="shared" si="6"/>
        <v>L</v>
      </c>
      <c r="CL7" s="8" t="str">
        <f t="shared" si="6"/>
        <v>M</v>
      </c>
      <c r="CM7" s="8" t="str">
        <f t="shared" si="6"/>
        <v>M</v>
      </c>
      <c r="CN7" s="8" t="str">
        <f t="shared" si="6"/>
        <v>J</v>
      </c>
      <c r="CO7" s="8" t="str">
        <f t="shared" si="6"/>
        <v>V</v>
      </c>
      <c r="CP7" s="8" t="str">
        <f t="shared" si="6"/>
        <v>S</v>
      </c>
      <c r="CQ7" s="8" t="str">
        <f t="shared" si="6"/>
        <v>D</v>
      </c>
      <c r="CR7" s="8" t="str">
        <f t="shared" si="6"/>
        <v>L</v>
      </c>
      <c r="CS7" s="8" t="str">
        <f t="shared" si="6"/>
        <v>M</v>
      </c>
      <c r="CT7" s="8" t="str">
        <f t="shared" si="6"/>
        <v>M</v>
      </c>
      <c r="CU7" s="8" t="str">
        <f t="shared" si="6"/>
        <v>J</v>
      </c>
      <c r="CV7" s="8" t="str">
        <f t="shared" si="6"/>
        <v>V</v>
      </c>
      <c r="CW7" s="8" t="str">
        <f t="shared" si="6"/>
        <v>S</v>
      </c>
      <c r="CX7" s="8" t="str">
        <f t="shared" si="6"/>
        <v>D</v>
      </c>
      <c r="CY7" s="8" t="str">
        <f t="shared" si="6"/>
        <v>L</v>
      </c>
      <c r="CZ7" s="8" t="str">
        <f t="shared" si="6"/>
        <v>M</v>
      </c>
      <c r="DA7" s="8" t="str">
        <f t="shared" si="6"/>
        <v>M</v>
      </c>
      <c r="DB7" s="8" t="str">
        <f t="shared" si="6"/>
        <v>J</v>
      </c>
      <c r="DC7" s="8" t="str">
        <f t="shared" si="6"/>
        <v>V</v>
      </c>
      <c r="DD7" s="8" t="str">
        <f t="shared" si="6"/>
        <v>S</v>
      </c>
      <c r="DE7" s="8" t="str">
        <f t="shared" si="6"/>
        <v>D</v>
      </c>
      <c r="DF7" s="8" t="str">
        <f t="shared" si="6"/>
        <v>L</v>
      </c>
      <c r="DG7" s="8" t="str">
        <f t="shared" si="6"/>
        <v>M</v>
      </c>
      <c r="DH7" s="8" t="str">
        <f t="shared" si="6"/>
        <v>M</v>
      </c>
      <c r="DI7" s="8" t="str">
        <f t="shared" si="6"/>
        <v>J</v>
      </c>
      <c r="DJ7" s="8" t="str">
        <f t="shared" si="6"/>
        <v>V</v>
      </c>
      <c r="DK7" s="8" t="str">
        <f t="shared" si="6"/>
        <v>S</v>
      </c>
      <c r="DL7" s="8" t="str">
        <f t="shared" si="6"/>
        <v>D</v>
      </c>
      <c r="DM7" s="8" t="str">
        <f t="shared" si="6"/>
        <v>L</v>
      </c>
      <c r="DN7" s="8" t="str">
        <f t="shared" si="6"/>
        <v>M</v>
      </c>
      <c r="DO7" s="8" t="str">
        <f t="shared" si="6"/>
        <v>M</v>
      </c>
      <c r="DP7" s="8" t="str">
        <f t="shared" si="6"/>
        <v>J</v>
      </c>
      <c r="DQ7" s="8" t="str">
        <f t="shared" si="6"/>
        <v>V</v>
      </c>
      <c r="DR7" s="8" t="str">
        <f t="shared" si="6"/>
        <v>S</v>
      </c>
      <c r="DS7" s="8" t="str">
        <f t="shared" si="6"/>
        <v>D</v>
      </c>
      <c r="DT7" s="8" t="str">
        <f t="shared" si="6"/>
        <v>L</v>
      </c>
      <c r="DU7" s="8" t="str">
        <f t="shared" si="6"/>
        <v>M</v>
      </c>
      <c r="DV7" s="8" t="str">
        <f t="shared" si="6"/>
        <v>M</v>
      </c>
      <c r="DW7" s="8" t="str">
        <f t="shared" si="6"/>
        <v>J</v>
      </c>
      <c r="DX7" s="8" t="str">
        <f t="shared" si="6"/>
        <v>V</v>
      </c>
      <c r="DY7" s="8" t="str">
        <f t="shared" si="6"/>
        <v>S</v>
      </c>
      <c r="DZ7" s="8" t="str">
        <f t="shared" si="6"/>
        <v>D</v>
      </c>
      <c r="EA7" s="8" t="str">
        <f t="shared" si="6"/>
        <v>L</v>
      </c>
      <c r="EB7" s="8" t="str">
        <f t="shared" si="6"/>
        <v>M</v>
      </c>
      <c r="EC7" s="8" t="str">
        <f t="shared" si="6"/>
        <v>M</v>
      </c>
      <c r="ED7" s="8" t="str">
        <f t="shared" si="6"/>
        <v>J</v>
      </c>
      <c r="EE7" s="8" t="str">
        <f t="shared" si="6"/>
        <v>V</v>
      </c>
      <c r="EF7" s="8" t="str">
        <f t="shared" si="6"/>
        <v>S</v>
      </c>
      <c r="EG7" s="8" t="str">
        <f t="shared" si="6"/>
        <v>D</v>
      </c>
      <c r="EH7" s="8" t="str">
        <f t="shared" si="6"/>
        <v>L</v>
      </c>
      <c r="EI7" s="8" t="str">
        <f t="shared" si="6"/>
        <v>M</v>
      </c>
      <c r="EJ7" s="8" t="str">
        <f t="shared" ref="EJ7:GU7" si="7">UPPER(LEFT(TEXT(EJ5,"jjj"),1))</f>
        <v>M</v>
      </c>
      <c r="EK7" s="8" t="str">
        <f t="shared" si="7"/>
        <v>J</v>
      </c>
      <c r="EL7" s="8" t="str">
        <f t="shared" si="7"/>
        <v>V</v>
      </c>
      <c r="EM7" s="8" t="str">
        <f t="shared" si="7"/>
        <v>S</v>
      </c>
      <c r="EN7" s="8" t="str">
        <f t="shared" si="7"/>
        <v>D</v>
      </c>
      <c r="EO7" s="8" t="str">
        <f t="shared" si="7"/>
        <v>L</v>
      </c>
      <c r="EP7" s="8" t="str">
        <f t="shared" si="7"/>
        <v>M</v>
      </c>
      <c r="EQ7" s="8" t="str">
        <f t="shared" si="7"/>
        <v>M</v>
      </c>
      <c r="ER7" s="8" t="str">
        <f t="shared" si="7"/>
        <v>J</v>
      </c>
      <c r="ES7" s="8" t="str">
        <f t="shared" si="7"/>
        <v>V</v>
      </c>
      <c r="ET7" s="8" t="str">
        <f t="shared" si="7"/>
        <v>S</v>
      </c>
      <c r="EU7" s="8" t="str">
        <f t="shared" si="7"/>
        <v>D</v>
      </c>
      <c r="EV7" s="8" t="str">
        <f t="shared" si="7"/>
        <v>L</v>
      </c>
      <c r="EW7" s="8" t="str">
        <f t="shared" si="7"/>
        <v>M</v>
      </c>
      <c r="EX7" s="8" t="str">
        <f t="shared" si="7"/>
        <v>M</v>
      </c>
      <c r="EY7" s="8" t="str">
        <f t="shared" si="7"/>
        <v>J</v>
      </c>
      <c r="EZ7" s="8" t="str">
        <f t="shared" si="7"/>
        <v>V</v>
      </c>
      <c r="FA7" s="8" t="str">
        <f t="shared" si="7"/>
        <v>S</v>
      </c>
      <c r="FB7" s="8" t="str">
        <f t="shared" si="7"/>
        <v>D</v>
      </c>
      <c r="FC7" s="8" t="str">
        <f t="shared" si="7"/>
        <v>L</v>
      </c>
      <c r="FD7" s="8" t="str">
        <f t="shared" si="7"/>
        <v>M</v>
      </c>
      <c r="FE7" s="8" t="str">
        <f t="shared" si="7"/>
        <v>M</v>
      </c>
      <c r="FF7" s="8" t="str">
        <f t="shared" si="7"/>
        <v>J</v>
      </c>
      <c r="FG7" s="8" t="str">
        <f t="shared" si="7"/>
        <v>V</v>
      </c>
      <c r="FH7" s="8" t="str">
        <f t="shared" si="7"/>
        <v>S</v>
      </c>
      <c r="FI7" s="8" t="str">
        <f t="shared" si="7"/>
        <v>D</v>
      </c>
      <c r="FJ7" s="8" t="str">
        <f t="shared" si="7"/>
        <v>L</v>
      </c>
      <c r="FK7" s="8" t="str">
        <f t="shared" si="7"/>
        <v>M</v>
      </c>
      <c r="FL7" s="8" t="str">
        <f t="shared" si="7"/>
        <v>M</v>
      </c>
      <c r="FM7" s="8" t="str">
        <f t="shared" si="7"/>
        <v>J</v>
      </c>
      <c r="FN7" s="8" t="str">
        <f t="shared" si="7"/>
        <v>V</v>
      </c>
      <c r="FO7" s="8" t="str">
        <f t="shared" si="7"/>
        <v>S</v>
      </c>
      <c r="FP7" s="8" t="str">
        <f t="shared" si="7"/>
        <v>D</v>
      </c>
      <c r="FQ7" s="8" t="str">
        <f t="shared" si="7"/>
        <v>L</v>
      </c>
      <c r="FR7" s="8" t="str">
        <f t="shared" si="7"/>
        <v>M</v>
      </c>
      <c r="FS7" s="8" t="str">
        <f t="shared" si="7"/>
        <v>M</v>
      </c>
      <c r="FT7" s="8" t="str">
        <f t="shared" si="7"/>
        <v>J</v>
      </c>
      <c r="FU7" s="8" t="str">
        <f t="shared" si="7"/>
        <v>V</v>
      </c>
      <c r="FV7" s="8" t="str">
        <f t="shared" si="7"/>
        <v>S</v>
      </c>
      <c r="FW7" s="8" t="str">
        <f t="shared" si="7"/>
        <v>D</v>
      </c>
      <c r="FX7" s="8" t="str">
        <f t="shared" si="7"/>
        <v>L</v>
      </c>
      <c r="FY7" s="8" t="str">
        <f t="shared" si="7"/>
        <v>M</v>
      </c>
      <c r="FZ7" s="8" t="str">
        <f t="shared" si="7"/>
        <v>M</v>
      </c>
      <c r="GA7" s="8" t="str">
        <f t="shared" si="7"/>
        <v>J</v>
      </c>
      <c r="GB7" s="8" t="str">
        <f t="shared" si="7"/>
        <v>V</v>
      </c>
      <c r="GC7" s="8" t="str">
        <f t="shared" si="7"/>
        <v>S</v>
      </c>
      <c r="GD7" s="8" t="str">
        <f t="shared" si="7"/>
        <v>D</v>
      </c>
      <c r="GE7" s="8" t="str">
        <f t="shared" si="7"/>
        <v>L</v>
      </c>
      <c r="GF7" s="8" t="str">
        <f t="shared" si="7"/>
        <v>M</v>
      </c>
      <c r="GG7" s="8" t="str">
        <f t="shared" si="7"/>
        <v>M</v>
      </c>
      <c r="GH7" s="8" t="str">
        <f t="shared" si="7"/>
        <v>J</v>
      </c>
      <c r="GI7" s="8" t="str">
        <f t="shared" si="7"/>
        <v>V</v>
      </c>
      <c r="GJ7" s="8" t="str">
        <f t="shared" si="7"/>
        <v>S</v>
      </c>
      <c r="GK7" s="8" t="str">
        <f t="shared" si="7"/>
        <v>D</v>
      </c>
      <c r="GL7" s="8" t="str">
        <f t="shared" si="7"/>
        <v>L</v>
      </c>
      <c r="GM7" s="8" t="str">
        <f t="shared" si="7"/>
        <v>M</v>
      </c>
      <c r="GN7" s="8" t="str">
        <f t="shared" si="7"/>
        <v>M</v>
      </c>
      <c r="GO7" s="8" t="str">
        <f t="shared" si="7"/>
        <v>J</v>
      </c>
      <c r="GP7" s="8" t="str">
        <f t="shared" si="7"/>
        <v>V</v>
      </c>
      <c r="GQ7" s="8" t="str">
        <f t="shared" si="7"/>
        <v>S</v>
      </c>
      <c r="GR7" s="8" t="str">
        <f t="shared" si="7"/>
        <v>D</v>
      </c>
      <c r="GS7" s="8" t="str">
        <f t="shared" si="7"/>
        <v>L</v>
      </c>
      <c r="GT7" s="8" t="str">
        <f t="shared" si="7"/>
        <v>M</v>
      </c>
      <c r="GU7" s="8" t="str">
        <f t="shared" si="7"/>
        <v>M</v>
      </c>
      <c r="GV7" s="8" t="str">
        <f t="shared" ref="GV7:JG7" si="8">UPPER(LEFT(TEXT(GV5,"jjj"),1))</f>
        <v>J</v>
      </c>
      <c r="GW7" s="8" t="str">
        <f t="shared" si="8"/>
        <v>V</v>
      </c>
      <c r="GX7" s="8" t="str">
        <f t="shared" si="8"/>
        <v>S</v>
      </c>
      <c r="GY7" s="8" t="str">
        <f t="shared" si="8"/>
        <v>D</v>
      </c>
      <c r="GZ7" s="8" t="str">
        <f t="shared" si="8"/>
        <v>L</v>
      </c>
      <c r="HA7" s="8" t="str">
        <f t="shared" si="8"/>
        <v>M</v>
      </c>
      <c r="HB7" s="8" t="str">
        <f t="shared" si="8"/>
        <v>M</v>
      </c>
      <c r="HC7" s="8" t="str">
        <f t="shared" si="8"/>
        <v>J</v>
      </c>
      <c r="HD7" s="8" t="str">
        <f t="shared" si="8"/>
        <v>V</v>
      </c>
      <c r="HE7" s="8" t="str">
        <f t="shared" si="8"/>
        <v>S</v>
      </c>
      <c r="HF7" s="8" t="str">
        <f t="shared" si="8"/>
        <v>D</v>
      </c>
      <c r="HG7" s="8" t="str">
        <f t="shared" si="8"/>
        <v>L</v>
      </c>
      <c r="HH7" s="8" t="str">
        <f t="shared" si="8"/>
        <v>M</v>
      </c>
      <c r="HI7" s="8" t="str">
        <f t="shared" si="8"/>
        <v>M</v>
      </c>
      <c r="HJ7" s="8" t="str">
        <f t="shared" si="8"/>
        <v>J</v>
      </c>
      <c r="HK7" s="8" t="str">
        <f t="shared" si="8"/>
        <v>V</v>
      </c>
      <c r="HL7" s="8" t="str">
        <f t="shared" si="8"/>
        <v>S</v>
      </c>
      <c r="HM7" s="8" t="str">
        <f t="shared" si="8"/>
        <v>D</v>
      </c>
      <c r="HN7" s="8" t="str">
        <f t="shared" si="8"/>
        <v>L</v>
      </c>
      <c r="HO7" s="8" t="str">
        <f t="shared" si="8"/>
        <v>M</v>
      </c>
      <c r="HP7" s="8" t="str">
        <f t="shared" si="8"/>
        <v>M</v>
      </c>
      <c r="HQ7" s="8" t="str">
        <f t="shared" si="8"/>
        <v>J</v>
      </c>
      <c r="HR7" s="8" t="str">
        <f t="shared" si="8"/>
        <v>V</v>
      </c>
      <c r="HS7" s="8" t="str">
        <f t="shared" si="8"/>
        <v>S</v>
      </c>
      <c r="HT7" s="8" t="str">
        <f t="shared" si="8"/>
        <v>D</v>
      </c>
      <c r="HU7" s="8" t="str">
        <f t="shared" si="8"/>
        <v>L</v>
      </c>
      <c r="HV7" s="8" t="str">
        <f t="shared" si="8"/>
        <v>M</v>
      </c>
      <c r="HW7" s="8" t="str">
        <f t="shared" si="8"/>
        <v>M</v>
      </c>
      <c r="HX7" s="8" t="str">
        <f t="shared" si="8"/>
        <v>J</v>
      </c>
      <c r="HY7" s="8" t="str">
        <f t="shared" si="8"/>
        <v>V</v>
      </c>
      <c r="HZ7" s="8" t="str">
        <f t="shared" si="8"/>
        <v>S</v>
      </c>
      <c r="IA7" s="8" t="str">
        <f t="shared" si="8"/>
        <v>D</v>
      </c>
      <c r="IB7" s="8" t="str">
        <f t="shared" si="8"/>
        <v>L</v>
      </c>
      <c r="IC7" s="8" t="str">
        <f t="shared" si="8"/>
        <v>M</v>
      </c>
      <c r="ID7" s="8" t="str">
        <f t="shared" si="8"/>
        <v>M</v>
      </c>
      <c r="IE7" s="8" t="str">
        <f t="shared" si="8"/>
        <v>J</v>
      </c>
      <c r="IF7" s="8" t="str">
        <f t="shared" si="8"/>
        <v>V</v>
      </c>
      <c r="IG7" s="8" t="str">
        <f t="shared" si="8"/>
        <v>S</v>
      </c>
      <c r="IH7" s="8" t="str">
        <f t="shared" si="8"/>
        <v>D</v>
      </c>
      <c r="II7" s="8" t="str">
        <f t="shared" si="8"/>
        <v>L</v>
      </c>
      <c r="IJ7" s="8" t="str">
        <f t="shared" si="8"/>
        <v>M</v>
      </c>
      <c r="IK7" s="8" t="str">
        <f t="shared" si="8"/>
        <v>M</v>
      </c>
      <c r="IL7" s="8" t="str">
        <f t="shared" si="8"/>
        <v>J</v>
      </c>
      <c r="IM7" s="8" t="str">
        <f t="shared" si="8"/>
        <v>V</v>
      </c>
      <c r="IN7" s="8" t="str">
        <f t="shared" si="8"/>
        <v>S</v>
      </c>
      <c r="IO7" s="8" t="str">
        <f t="shared" si="8"/>
        <v>D</v>
      </c>
      <c r="IP7" s="8" t="str">
        <f t="shared" si="8"/>
        <v>L</v>
      </c>
      <c r="IQ7" s="8" t="str">
        <f t="shared" si="8"/>
        <v>M</v>
      </c>
      <c r="IR7" s="8" t="str">
        <f t="shared" si="8"/>
        <v>M</v>
      </c>
      <c r="IS7" s="8" t="str">
        <f t="shared" si="8"/>
        <v>J</v>
      </c>
      <c r="IT7" s="8" t="str">
        <f t="shared" si="8"/>
        <v>V</v>
      </c>
      <c r="IU7" s="8" t="str">
        <f t="shared" si="8"/>
        <v>S</v>
      </c>
      <c r="IV7" s="8" t="str">
        <f t="shared" si="8"/>
        <v>D</v>
      </c>
      <c r="IW7" s="8" t="str">
        <f t="shared" si="8"/>
        <v>L</v>
      </c>
      <c r="IX7" s="8" t="str">
        <f t="shared" si="8"/>
        <v>M</v>
      </c>
      <c r="IY7" s="8" t="str">
        <f t="shared" si="8"/>
        <v>M</v>
      </c>
      <c r="IZ7" s="8" t="str">
        <f t="shared" si="8"/>
        <v>J</v>
      </c>
      <c r="JA7" s="8" t="str">
        <f t="shared" si="8"/>
        <v>V</v>
      </c>
      <c r="JB7" s="8" t="str">
        <f t="shared" si="8"/>
        <v>S</v>
      </c>
      <c r="JC7" s="8" t="str">
        <f t="shared" si="8"/>
        <v>D</v>
      </c>
      <c r="JD7" s="8" t="str">
        <f t="shared" si="8"/>
        <v>L</v>
      </c>
      <c r="JE7" s="8" t="str">
        <f t="shared" si="8"/>
        <v>M</v>
      </c>
      <c r="JF7" s="8" t="str">
        <f t="shared" si="8"/>
        <v>M</v>
      </c>
      <c r="JG7" s="8" t="str">
        <f t="shared" si="8"/>
        <v>J</v>
      </c>
      <c r="JH7" s="8" t="str">
        <f t="shared" ref="JH7:JW7" si="9">UPPER(LEFT(TEXT(JH5,"jjj"),1))</f>
        <v>V</v>
      </c>
      <c r="JI7" s="8" t="str">
        <f t="shared" si="9"/>
        <v>S</v>
      </c>
      <c r="JJ7" s="8" t="str">
        <f t="shared" si="9"/>
        <v>D</v>
      </c>
      <c r="JK7" s="8" t="str">
        <f t="shared" si="9"/>
        <v>L</v>
      </c>
      <c r="JL7" s="8" t="str">
        <f t="shared" si="9"/>
        <v>M</v>
      </c>
      <c r="JM7" s="8" t="str">
        <f t="shared" si="9"/>
        <v>M</v>
      </c>
      <c r="JN7" s="8" t="str">
        <f t="shared" si="9"/>
        <v>J</v>
      </c>
      <c r="JO7" s="8" t="str">
        <f t="shared" si="9"/>
        <v>V</v>
      </c>
      <c r="JP7" s="8" t="str">
        <f t="shared" si="9"/>
        <v>S</v>
      </c>
      <c r="JQ7" s="8" t="str">
        <f t="shared" si="9"/>
        <v>D</v>
      </c>
      <c r="JR7" s="8" t="str">
        <f t="shared" si="9"/>
        <v>L</v>
      </c>
      <c r="JS7" s="8" t="str">
        <f t="shared" si="9"/>
        <v>M</v>
      </c>
      <c r="JT7" s="8" t="str">
        <f t="shared" si="9"/>
        <v>M</v>
      </c>
      <c r="JU7" s="8" t="str">
        <f t="shared" si="9"/>
        <v>J</v>
      </c>
      <c r="JV7" s="8" t="str">
        <f t="shared" si="9"/>
        <v>V</v>
      </c>
      <c r="JW7" s="8" t="str">
        <f t="shared" si="9"/>
        <v>S</v>
      </c>
    </row>
    <row r="8" spans="2:283" ht="19.5" customHeight="1" x14ac:dyDescent="0.25">
      <c r="B8" s="45"/>
      <c r="C8" s="45" t="s">
        <v>6</v>
      </c>
      <c r="D8" s="9"/>
      <c r="E8" s="9"/>
      <c r="F8" s="15"/>
      <c r="G8" s="15"/>
      <c r="H8" s="10"/>
      <c r="I8" s="20" t="str">
        <f ca="1">IFERROR(INDEX(C:C,ROW(INDIRECT(MID(ft(task_start),FIND("(",ft(task_start)) + 1,FIND(",",ft(task_start)) - FIND("(",ft(task_start))-1)))),"")</f>
        <v/>
      </c>
      <c r="J8" s="14" t="str">
        <f t="shared" ref="J8:J64" ca="1" si="10">IFERROR(WORKDAY.INTL(task_start,task_workdays-1,weekend,holidays),"")</f>
        <v/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</row>
    <row r="9" spans="2:283" ht="19.5" customHeight="1" x14ac:dyDescent="0.25">
      <c r="B9" s="46" t="s">
        <v>29</v>
      </c>
      <c r="C9" s="11" t="s">
        <v>7</v>
      </c>
      <c r="D9" s="11"/>
      <c r="E9" s="11" t="s">
        <v>153</v>
      </c>
      <c r="F9" s="16">
        <v>1</v>
      </c>
      <c r="G9" s="17">
        <v>1</v>
      </c>
      <c r="H9" s="36">
        <f>D5</f>
        <v>45932</v>
      </c>
      <c r="I9" s="20" t="str">
        <f ca="1">IFERROR(INDEX(C:C,ROW(INDIRECT(MID(ft(task_start),FIND("(",ft(task_start)) + 1,FIND(",",ft(task_start)) - FIND("(",ft(task_start))-1)))),"")</f>
        <v/>
      </c>
      <c r="J9" s="14">
        <f ca="1">IFERROR(WORKDAY.INTL(task_start,task_workdays-1,weekend,holidays),"")</f>
        <v>45932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</row>
    <row r="10" spans="2:283" ht="19.5" customHeight="1" x14ac:dyDescent="0.25">
      <c r="B10" s="46" t="s">
        <v>30</v>
      </c>
      <c r="C10" s="11" t="s">
        <v>8</v>
      </c>
      <c r="D10" s="11"/>
      <c r="E10" s="11" t="s">
        <v>153</v>
      </c>
      <c r="F10" s="16">
        <v>1</v>
      </c>
      <c r="G10" s="17">
        <v>3</v>
      </c>
      <c r="H10" s="36">
        <f ca="1">WORKDAY.INTL(J9,1,weekend,holidays)</f>
        <v>45933</v>
      </c>
      <c r="I10" s="20" t="str">
        <f ca="1">IFERROR(INDEX(C:C,ROW(INDIRECT(MID(ft(task_start),FIND("(",ft(task_start)) + 1,FIND(",",ft(task_start)) - FIND("(",ft(task_start))-1)))),"")</f>
        <v>Task 1.1</v>
      </c>
      <c r="J10" s="14">
        <f ca="1">IFERROR(WORKDAY.INTL(task_start,task_workdays-1,weekend,holidays),"")</f>
        <v>45937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</row>
    <row r="11" spans="2:283" ht="19.5" customHeight="1" x14ac:dyDescent="0.25">
      <c r="B11" s="46" t="s">
        <v>31</v>
      </c>
      <c r="C11" s="11" t="s">
        <v>9</v>
      </c>
      <c r="D11" s="11"/>
      <c r="E11" s="11" t="s">
        <v>153</v>
      </c>
      <c r="F11" s="16">
        <v>1</v>
      </c>
      <c r="G11" s="17">
        <v>4</v>
      </c>
      <c r="H11" s="36">
        <f ca="1">WORKDAY.INTL(J10,1,weekend,holidays)</f>
        <v>45938</v>
      </c>
      <c r="I11" s="20" t="str">
        <f ca="1">IFERROR(INDEX(C:C,ROW(INDIRECT(MID(ft(task_start),FIND("(",ft(task_start)) + 1,FIND(",",ft(task_start)) - FIND("(",ft(task_start))-1)))),"")</f>
        <v>Task 1.2</v>
      </c>
      <c r="J11" s="14">
        <f t="shared" ca="1" si="10"/>
        <v>45943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</row>
    <row r="12" spans="2:283" ht="19.5" customHeight="1" x14ac:dyDescent="0.25">
      <c r="B12" s="46" t="s">
        <v>32</v>
      </c>
      <c r="C12" s="11" t="s">
        <v>10</v>
      </c>
      <c r="D12" s="11"/>
      <c r="E12" s="11" t="s">
        <v>153</v>
      </c>
      <c r="F12" s="16">
        <v>1</v>
      </c>
      <c r="G12" s="17">
        <v>4</v>
      </c>
      <c r="H12" s="36">
        <f ca="1">WORKDAY.INTL(J11,1,weekend,holidays)</f>
        <v>45944</v>
      </c>
      <c r="I12" s="20" t="str">
        <f ca="1">IFERROR(INDEX(C:C,ROW(INDIRECT(MID(ft(task_start),FIND("(",ft(task_start)) + 1,FIND(",",ft(task_start)) - FIND("(",ft(task_start))-1)))),"")</f>
        <v>Task 1.3</v>
      </c>
      <c r="J12" s="14">
        <f ca="1">IFERROR(WORKDAY.INTL(task_start,task_workdays-1,weekend,holidays),"")</f>
        <v>45947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</row>
    <row r="13" spans="2:283" ht="19.5" customHeight="1" x14ac:dyDescent="0.25">
      <c r="B13" s="46" t="s">
        <v>91</v>
      </c>
      <c r="C13" s="11" t="s">
        <v>92</v>
      </c>
      <c r="D13" s="11"/>
      <c r="E13" s="11" t="s">
        <v>153</v>
      </c>
      <c r="F13" s="16">
        <v>1</v>
      </c>
      <c r="G13" s="17">
        <v>4</v>
      </c>
      <c r="H13" s="36">
        <f ca="1">WORKDAY.INTL(J12,1,weekend,holidays)</f>
        <v>45964</v>
      </c>
      <c r="I13" s="20" t="str">
        <f ca="1">IFERROR(INDEX(C:C,ROW(INDIRECT(MID(ft(task_start),FIND("(",ft(task_start)) + 1,FIND(",",ft(task_start)) - FIND("(",ft(task_start))-1)))),"")</f>
        <v>Task 1.4</v>
      </c>
      <c r="J13" s="14">
        <f ca="1">IFERROR(WORKDAY.INTL(task_start,task_workdays-1,weekend,holidays),"")</f>
        <v>45967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12"/>
    </row>
    <row r="14" spans="2:283" ht="19.5" customHeight="1" x14ac:dyDescent="0.25">
      <c r="B14" s="47"/>
      <c r="C14" s="47" t="s">
        <v>11</v>
      </c>
      <c r="D14" s="13"/>
      <c r="E14" s="13"/>
      <c r="F14" s="17"/>
      <c r="G14" s="17"/>
      <c r="H14" s="12"/>
      <c r="I14" s="20"/>
      <c r="J14" s="14" t="str">
        <f t="shared" ca="1" si="10"/>
        <v/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</row>
    <row r="15" spans="2:283" ht="19.5" customHeight="1" x14ac:dyDescent="0.25">
      <c r="B15" s="46" t="s">
        <v>33</v>
      </c>
      <c r="C15" s="11" t="s">
        <v>12</v>
      </c>
      <c r="D15" s="11"/>
      <c r="E15" s="11" t="s">
        <v>153</v>
      </c>
      <c r="F15" s="16">
        <v>1</v>
      </c>
      <c r="G15" s="17">
        <v>8</v>
      </c>
      <c r="H15" s="14">
        <v>45976</v>
      </c>
      <c r="I15" s="20" t="str">
        <f ca="1">IFERROR(INDEX(C:C,ROW(INDIRECT(MID(ft(task_start),FIND("(",ft(task_start)) + 1,FIND(",",ft(task_start)) - FIND("(",ft(task_start))-1)))),"")</f>
        <v/>
      </c>
      <c r="J15" s="14">
        <f ca="1">IFERROR(WORKDAY.INTL(task_start,task_workdays-1,weekend,holidays),"")</f>
        <v>45986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12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12"/>
    </row>
    <row r="16" spans="2:283" ht="19.5" customHeight="1" x14ac:dyDescent="0.25">
      <c r="B16" s="46" t="s">
        <v>34</v>
      </c>
      <c r="C16" s="11" t="s">
        <v>13</v>
      </c>
      <c r="D16" s="11"/>
      <c r="E16" s="11" t="s">
        <v>153</v>
      </c>
      <c r="F16" s="16">
        <v>1</v>
      </c>
      <c r="G16" s="17">
        <v>6</v>
      </c>
      <c r="H16" s="14">
        <f ca="1">WORKDAY.INTL(J15,3,weekend,holidays)</f>
        <v>45989</v>
      </c>
      <c r="I16" s="20" t="str">
        <f ca="1">IFERROR(INDEX(C:C,ROW(INDIRECT(MID(ft(task_start),FIND("(",ft(task_start)) + 1,FIND(",",ft(task_start)) - FIND("(",ft(task_start))-1)))),"")</f>
        <v>Task 2.1</v>
      </c>
      <c r="J16" s="14">
        <f t="shared" ca="1" si="10"/>
        <v>45996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12"/>
    </row>
    <row r="17" spans="2:283" ht="19.5" customHeight="1" x14ac:dyDescent="0.25">
      <c r="B17" s="46" t="s">
        <v>35</v>
      </c>
      <c r="C17" s="11" t="s">
        <v>14</v>
      </c>
      <c r="D17" s="11"/>
      <c r="E17" s="11" t="s">
        <v>153</v>
      </c>
      <c r="F17" s="16">
        <v>1</v>
      </c>
      <c r="G17" s="17">
        <v>4</v>
      </c>
      <c r="H17" s="14">
        <f ca="1">WORKDAY.INTL(J16,3,weekend,holidays)</f>
        <v>46001</v>
      </c>
      <c r="I17" s="20" t="str">
        <f ca="1">IFERROR(INDEX(C:C,ROW(INDIRECT(MID(ft(task_start),FIND("(",ft(task_start)) + 1,FIND(",",ft(task_start)) - FIND("(",ft(task_start))-1)))),"")</f>
        <v>Task 2.2</v>
      </c>
      <c r="J17" s="14">
        <f t="shared" ca="1" si="10"/>
        <v>46006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12"/>
    </row>
    <row r="18" spans="2:283" ht="19.5" customHeight="1" x14ac:dyDescent="0.25">
      <c r="B18" s="46" t="s">
        <v>36</v>
      </c>
      <c r="C18" s="11" t="s">
        <v>15</v>
      </c>
      <c r="D18" s="11"/>
      <c r="E18" s="11" t="s">
        <v>153</v>
      </c>
      <c r="F18" s="16">
        <v>1</v>
      </c>
      <c r="G18" s="17">
        <v>7</v>
      </c>
      <c r="H18" s="14">
        <f ca="1">WORKDAY.INTL(J17,3,weekend,holidays)</f>
        <v>46009</v>
      </c>
      <c r="I18" s="20" t="str">
        <f ca="1">IFERROR(INDEX(C:C,ROW(INDIRECT(MID(ft(task_start),FIND("(",ft(task_start)) + 1,FIND(",",ft(task_start)) - FIND("(",ft(task_start))-1)))),"")</f>
        <v>Task 2.3</v>
      </c>
      <c r="J18" s="14">
        <f t="shared" ca="1" si="10"/>
        <v>46031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</row>
    <row r="19" spans="2:283" ht="19.5" customHeight="1" x14ac:dyDescent="0.25">
      <c r="B19" s="45"/>
      <c r="C19" s="45" t="s">
        <v>45</v>
      </c>
      <c r="D19" s="9"/>
      <c r="E19" s="9"/>
      <c r="F19" s="16"/>
      <c r="G19" s="15"/>
      <c r="H19" s="10"/>
      <c r="I19" s="20" t="str">
        <f ca="1">IFERROR(INDEX(C:C,ROW(INDIRECT(MID(ft(task_start),FIND("(",ft(task_start)) + 1,FIND(",",ft(task_start)) - FIND("(",ft(task_start))-1)))),"")</f>
        <v/>
      </c>
      <c r="J19" s="14" t="str">
        <f t="shared" ca="1" si="10"/>
        <v/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</row>
    <row r="20" spans="2:283" ht="19.5" customHeight="1" x14ac:dyDescent="0.25">
      <c r="B20" s="46" t="s">
        <v>63</v>
      </c>
      <c r="C20" s="11" t="s">
        <v>46</v>
      </c>
      <c r="D20" s="11"/>
      <c r="E20" s="11" t="s">
        <v>153</v>
      </c>
      <c r="F20" s="16">
        <v>1</v>
      </c>
      <c r="G20" s="17">
        <v>4</v>
      </c>
      <c r="H20" s="14">
        <v>46037</v>
      </c>
      <c r="I20" s="20" t="str">
        <f ca="1">IFERROR(INDEX(C:C,ROW(INDIRECT(MID(ft(task_start),FIND("(",ft(task_start)) + 1,FIND(",",ft(task_start)) - FIND("(",ft(task_start))-1)))),"")</f>
        <v/>
      </c>
      <c r="J20" s="14">
        <f t="shared" ref="J20:J27" ca="1" si="11">IFERROR(WORKDAY.INTL(task_start,task_workdays-1,weekend,holidays),"")</f>
        <v>46042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</row>
    <row r="21" spans="2:283" ht="19.5" customHeight="1" x14ac:dyDescent="0.25">
      <c r="B21" s="46" t="s">
        <v>64</v>
      </c>
      <c r="C21" s="11" t="s">
        <v>47</v>
      </c>
      <c r="D21" s="11"/>
      <c r="E21" s="11" t="s">
        <v>153</v>
      </c>
      <c r="F21" s="16">
        <v>1</v>
      </c>
      <c r="G21" s="17">
        <v>3</v>
      </c>
      <c r="H21" s="36">
        <f ca="1">WORKDAY.INTL(J20,1,weekend,holidays)</f>
        <v>46043</v>
      </c>
      <c r="I21" s="20" t="str">
        <f ca="1">IFERROR(INDEX(C:C,ROW(INDIRECT(MID(ft(task_start),FIND("(",ft(task_start)) + 1,FIND(",",ft(task_start)) - FIND("(",ft(task_start))-1)))),"")</f>
        <v>Task 3.1</v>
      </c>
      <c r="J21" s="14">
        <f t="shared" ca="1" si="11"/>
        <v>46045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/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/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</row>
    <row r="22" spans="2:283" ht="19.5" customHeight="1" x14ac:dyDescent="0.25">
      <c r="B22" s="46" t="s">
        <v>65</v>
      </c>
      <c r="C22" s="11" t="s">
        <v>48</v>
      </c>
      <c r="D22" s="11"/>
      <c r="E22" s="11" t="s">
        <v>153</v>
      </c>
      <c r="F22" s="16">
        <v>1</v>
      </c>
      <c r="G22" s="17">
        <v>3</v>
      </c>
      <c r="H22" s="36">
        <f t="shared" ref="H22:H36" ca="1" si="12">WORKDAY.INTL(J21,1,weekend,holidays)</f>
        <v>46048</v>
      </c>
      <c r="I22" s="20" t="str">
        <f ca="1">IFERROR(INDEX(C:C,ROW(INDIRECT(MID(ft(task_start),FIND("(",ft(task_start)) + 1,FIND(",",ft(task_start)) - FIND("(",ft(task_start))-1)))),"")</f>
        <v>Task 3.2</v>
      </c>
      <c r="J22" s="14">
        <f t="shared" ca="1" si="11"/>
        <v>46050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12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12"/>
    </row>
    <row r="23" spans="2:283" ht="19.5" customHeight="1" x14ac:dyDescent="0.25">
      <c r="B23" s="46" t="s">
        <v>66</v>
      </c>
      <c r="C23" s="11" t="s">
        <v>49</v>
      </c>
      <c r="D23" s="11"/>
      <c r="E23" s="11" t="s">
        <v>153</v>
      </c>
      <c r="F23" s="16">
        <v>1</v>
      </c>
      <c r="G23" s="17">
        <v>1</v>
      </c>
      <c r="H23" s="36">
        <f t="shared" ca="1" si="12"/>
        <v>46051</v>
      </c>
      <c r="I23" s="20" t="str">
        <f ca="1">IFERROR(INDEX(C:C,ROW(INDIRECT(MID(ft(task_start),FIND("(",ft(task_start)) + 1,FIND(",",ft(task_start)) - FIND("(",ft(task_start))-1)))),"")</f>
        <v>Task 3.3</v>
      </c>
      <c r="J23" s="14">
        <f t="shared" ca="1" si="11"/>
        <v>46051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12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12"/>
    </row>
    <row r="24" spans="2:283" ht="19.5" customHeight="1" x14ac:dyDescent="0.25">
      <c r="B24" s="46" t="s">
        <v>67</v>
      </c>
      <c r="C24" s="11" t="s">
        <v>50</v>
      </c>
      <c r="D24" s="11"/>
      <c r="E24" s="11" t="s">
        <v>153</v>
      </c>
      <c r="F24" s="16">
        <v>1</v>
      </c>
      <c r="G24" s="17">
        <v>3</v>
      </c>
      <c r="H24" s="36">
        <f t="shared" ca="1" si="12"/>
        <v>46052</v>
      </c>
      <c r="I24" s="20" t="str">
        <f ca="1">IFERROR(INDEX(C:C,ROW(INDIRECT(MID(ft(task_start),FIND("(",ft(task_start)) + 1,FIND(",",ft(task_start)) - FIND("(",ft(task_start))-1)))),"")</f>
        <v>Task 3.4</v>
      </c>
      <c r="J24" s="14">
        <f t="shared" ca="1" si="11"/>
        <v>46056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12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12"/>
    </row>
    <row r="25" spans="2:283" ht="19.5" customHeight="1" x14ac:dyDescent="0.25">
      <c r="B25" s="46" t="s">
        <v>68</v>
      </c>
      <c r="C25" s="11" t="s">
        <v>51</v>
      </c>
      <c r="D25" s="11"/>
      <c r="E25" s="11" t="s">
        <v>153</v>
      </c>
      <c r="F25" s="16">
        <v>1</v>
      </c>
      <c r="G25" s="17">
        <v>4</v>
      </c>
      <c r="H25" s="36">
        <f t="shared" ca="1" si="12"/>
        <v>46057</v>
      </c>
      <c r="I25" s="20" t="str">
        <f ca="1">IFERROR(INDEX(C:C,ROW(INDIRECT(MID(ft(task_start),FIND("(",ft(task_start)) + 1,FIND(",",ft(task_start)) - FIND("(",ft(task_start))-1)))),"")</f>
        <v>Task 3.5</v>
      </c>
      <c r="J25" s="14">
        <f t="shared" ca="1" si="11"/>
        <v>46062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</row>
    <row r="26" spans="2:283" ht="19.5" customHeight="1" x14ac:dyDescent="0.25">
      <c r="B26" s="46" t="s">
        <v>69</v>
      </c>
      <c r="C26" s="11" t="s">
        <v>52</v>
      </c>
      <c r="D26" s="11"/>
      <c r="E26" s="11" t="s">
        <v>153</v>
      </c>
      <c r="F26" s="16">
        <v>1</v>
      </c>
      <c r="G26" s="17">
        <v>4</v>
      </c>
      <c r="H26" s="36">
        <f t="shared" ca="1" si="12"/>
        <v>46063</v>
      </c>
      <c r="I26" s="20" t="str">
        <f ca="1">IFERROR(INDEX(C:C,ROW(INDIRECT(MID(ft(task_start),FIND("(",ft(task_start)) + 1,FIND(",",ft(task_start)) - FIND("(",ft(task_start))-1)))),"")</f>
        <v>Task 3.6</v>
      </c>
      <c r="J26" s="14">
        <f t="shared" ca="1" si="11"/>
        <v>46066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</row>
    <row r="27" spans="2:283" ht="19.5" customHeight="1" x14ac:dyDescent="0.25">
      <c r="B27" s="46" t="s">
        <v>70</v>
      </c>
      <c r="C27" s="11" t="s">
        <v>53</v>
      </c>
      <c r="D27" s="11"/>
      <c r="E27" s="11" t="s">
        <v>153</v>
      </c>
      <c r="F27" s="16">
        <v>1</v>
      </c>
      <c r="G27" s="17">
        <v>3</v>
      </c>
      <c r="H27" s="36">
        <f t="shared" ca="1" si="12"/>
        <v>46083</v>
      </c>
      <c r="I27" s="20" t="str">
        <f ca="1">IFERROR(INDEX(C:C,ROW(INDIRECT(MID(ft(task_start),FIND("(",ft(task_start)) + 1,FIND(",",ft(task_start)) - FIND("(",ft(task_start))-1)))),"")</f>
        <v>Task 3.7</v>
      </c>
      <c r="J27" s="14">
        <f t="shared" ca="1" si="11"/>
        <v>46085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</row>
    <row r="28" spans="2:283" ht="19.5" customHeight="1" x14ac:dyDescent="0.25">
      <c r="B28" s="46" t="s">
        <v>71</v>
      </c>
      <c r="C28" s="11" t="s">
        <v>54</v>
      </c>
      <c r="D28" s="11"/>
      <c r="E28" s="11" t="s">
        <v>153</v>
      </c>
      <c r="F28" s="16">
        <v>1</v>
      </c>
      <c r="G28" s="17">
        <v>3</v>
      </c>
      <c r="H28" s="36">
        <f t="shared" ca="1" si="12"/>
        <v>46086</v>
      </c>
      <c r="I28" s="20" t="str">
        <f ca="1">IFERROR(INDEX(C:C,ROW(INDIRECT(MID(ft(task_start),FIND("(",ft(task_start)) + 1,FIND(",",ft(task_start)) - FIND("(",ft(task_start))-1)))),"")</f>
        <v>Task 3.8</v>
      </c>
      <c r="J28" s="14">
        <f t="shared" ca="1" si="10"/>
        <v>46090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</row>
    <row r="29" spans="2:283" ht="19.5" customHeight="1" x14ac:dyDescent="0.25">
      <c r="B29" s="46" t="s">
        <v>72</v>
      </c>
      <c r="C29" s="11" t="s">
        <v>55</v>
      </c>
      <c r="D29" s="11"/>
      <c r="E29" s="11" t="s">
        <v>153</v>
      </c>
      <c r="F29" s="16">
        <v>1</v>
      </c>
      <c r="G29" s="17">
        <v>4</v>
      </c>
      <c r="H29" s="36">
        <f t="shared" ca="1" si="12"/>
        <v>46091</v>
      </c>
      <c r="I29" s="20" t="str">
        <f ca="1">IFERROR(INDEX(C:C,ROW(INDIRECT(MID(ft(task_start),FIND("(",ft(task_start)) + 1,FIND(",",ft(task_start)) - FIND("(",ft(task_start))-1)))),"")</f>
        <v>Task 3.9</v>
      </c>
      <c r="J29" s="14">
        <f ca="1">IFERROR(WORKDAY.INTL(task_start,task_workdays-1,weekend,holidays),"")</f>
        <v>46094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</row>
    <row r="30" spans="2:283" ht="19.5" customHeight="1" x14ac:dyDescent="0.25">
      <c r="B30" s="46" t="s">
        <v>73</v>
      </c>
      <c r="C30" s="11" t="s">
        <v>56</v>
      </c>
      <c r="D30" s="11"/>
      <c r="E30" s="11" t="s">
        <v>153</v>
      </c>
      <c r="F30" s="16">
        <v>1</v>
      </c>
      <c r="G30" s="17">
        <v>3</v>
      </c>
      <c r="H30" s="36">
        <f t="shared" ca="1" si="12"/>
        <v>46097</v>
      </c>
      <c r="I30" s="20" t="str">
        <f ca="1">IFERROR(INDEX(C:C,ROW(INDIRECT(MID(ft(task_start),FIND("(",ft(task_start)) + 1,FIND(",",ft(task_start)) - FIND("(",ft(task_start))-1)))),"")</f>
        <v>Task 3.1.0</v>
      </c>
      <c r="J30" s="14">
        <f t="shared" ca="1" si="10"/>
        <v>46099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</row>
    <row r="31" spans="2:283" ht="19.5" customHeight="1" x14ac:dyDescent="0.25">
      <c r="B31" s="46" t="s">
        <v>74</v>
      </c>
      <c r="C31" s="11" t="s">
        <v>57</v>
      </c>
      <c r="D31" s="11"/>
      <c r="E31" s="11" t="s">
        <v>153</v>
      </c>
      <c r="F31" s="16">
        <v>1</v>
      </c>
      <c r="G31" s="17">
        <v>2</v>
      </c>
      <c r="H31" s="36">
        <f t="shared" ca="1" si="12"/>
        <v>46100</v>
      </c>
      <c r="I31" s="20" t="str">
        <f ca="1">IFERROR(INDEX(C:C,ROW(INDIRECT(MID(ft(task_start),FIND("(",ft(task_start)) + 1,FIND(",",ft(task_start)) - FIND("(",ft(task_start))-1)))),"")</f>
        <v>Task 3.1.1</v>
      </c>
      <c r="J31" s="14">
        <f t="shared" ca="1" si="10"/>
        <v>46101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</row>
    <row r="32" spans="2:283" ht="19.5" customHeight="1" x14ac:dyDescent="0.25">
      <c r="B32" s="46" t="s">
        <v>75</v>
      </c>
      <c r="C32" s="11" t="s">
        <v>58</v>
      </c>
      <c r="D32" s="11"/>
      <c r="E32" s="11" t="s">
        <v>153</v>
      </c>
      <c r="F32" s="16">
        <v>1</v>
      </c>
      <c r="G32" s="17">
        <v>2</v>
      </c>
      <c r="H32" s="36">
        <f t="shared" ca="1" si="12"/>
        <v>46104</v>
      </c>
      <c r="I32" s="20" t="str">
        <f ca="1">IFERROR(INDEX(C:C,ROW(INDIRECT(MID(ft(task_start),FIND("(",ft(task_start)) + 1,FIND(",",ft(task_start)) - FIND("(",ft(task_start))-1)))),"")</f>
        <v>Task 3.1.2</v>
      </c>
      <c r="J32" s="14">
        <f t="shared" ca="1" si="10"/>
        <v>46105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</row>
    <row r="33" spans="2:283" ht="19.5" customHeight="1" x14ac:dyDescent="0.25">
      <c r="B33" s="46" t="s">
        <v>76</v>
      </c>
      <c r="C33" s="11" t="s">
        <v>59</v>
      </c>
      <c r="D33" s="11"/>
      <c r="E33" s="11" t="s">
        <v>153</v>
      </c>
      <c r="F33" s="16">
        <v>1</v>
      </c>
      <c r="G33" s="17">
        <v>3</v>
      </c>
      <c r="H33" s="36">
        <f t="shared" ca="1" si="12"/>
        <v>46106</v>
      </c>
      <c r="I33" s="20" t="str">
        <f ca="1">IFERROR(INDEX(C:C,ROW(INDIRECT(MID(ft(task_start),FIND("(",ft(task_start)) + 1,FIND(",",ft(task_start)) - FIND("(",ft(task_start))-1)))),"")</f>
        <v>Task 3.1.3</v>
      </c>
      <c r="J33" s="14">
        <f t="shared" ca="1" si="10"/>
        <v>46108</v>
      </c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</row>
    <row r="34" spans="2:283" ht="19.5" customHeight="1" x14ac:dyDescent="0.25">
      <c r="B34" s="46" t="s">
        <v>77</v>
      </c>
      <c r="C34" s="11" t="s">
        <v>60</v>
      </c>
      <c r="D34" s="11"/>
      <c r="E34" s="11" t="s">
        <v>153</v>
      </c>
      <c r="F34" s="16">
        <v>1</v>
      </c>
      <c r="G34" s="17">
        <v>5</v>
      </c>
      <c r="H34" s="36">
        <f t="shared" ca="1" si="12"/>
        <v>46111</v>
      </c>
      <c r="I34" s="20" t="str">
        <f ca="1">IFERROR(INDEX(C:C,ROW(INDIRECT(MID(ft(task_start),FIND("(",ft(task_start)) + 1,FIND(",",ft(task_start)) - FIND("(",ft(task_start))-1)))),"")</f>
        <v>Task 3.1.4</v>
      </c>
      <c r="J34" s="14">
        <f t="shared" ca="1" si="10"/>
        <v>46115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</row>
    <row r="35" spans="2:283" ht="19.5" customHeight="1" x14ac:dyDescent="0.25">
      <c r="B35" s="46" t="s">
        <v>78</v>
      </c>
      <c r="C35" s="11" t="s">
        <v>61</v>
      </c>
      <c r="D35" s="11"/>
      <c r="E35" s="11" t="s">
        <v>153</v>
      </c>
      <c r="F35" s="16">
        <v>1</v>
      </c>
      <c r="G35" s="17">
        <v>5</v>
      </c>
      <c r="H35" s="36">
        <f t="shared" ca="1" si="12"/>
        <v>46119</v>
      </c>
      <c r="I35" s="20" t="str">
        <f ca="1">IFERROR(INDEX(C:C,ROW(INDIRECT(MID(ft(task_start),FIND("(",ft(task_start)) + 1,FIND(",",ft(task_start)) - FIND("(",ft(task_start))-1)))),"")</f>
        <v>Task 3.1.5</v>
      </c>
      <c r="J35" s="14">
        <f t="shared" ca="1" si="10"/>
        <v>46125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12"/>
      <c r="IP35" s="12"/>
      <c r="IQ35" s="12"/>
      <c r="IR35" s="12"/>
      <c r="IS35" s="12"/>
      <c r="IT35" s="12"/>
      <c r="IU35" s="12"/>
      <c r="IV35" s="12"/>
      <c r="IW35" s="12"/>
      <c r="IX35" s="12"/>
      <c r="IY35" s="12"/>
      <c r="IZ35" s="12"/>
      <c r="JA35" s="12"/>
      <c r="JB35" s="12"/>
      <c r="JC35" s="12"/>
      <c r="JD35" s="12"/>
      <c r="JE35" s="12"/>
      <c r="JF35" s="12"/>
      <c r="JG35" s="12"/>
      <c r="JH35" s="12"/>
      <c r="JI35" s="12"/>
      <c r="JJ35" s="12"/>
      <c r="JK35" s="12"/>
      <c r="JL35" s="12"/>
      <c r="JM35" s="12"/>
      <c r="JN35" s="12"/>
      <c r="JO35" s="12"/>
      <c r="JP35" s="12"/>
      <c r="JQ35" s="12"/>
      <c r="JR35" s="12"/>
      <c r="JS35" s="12"/>
      <c r="JT35" s="12"/>
      <c r="JU35" s="12"/>
      <c r="JV35" s="12"/>
      <c r="JW35" s="12"/>
    </row>
    <row r="36" spans="2:283" ht="19.5" customHeight="1" x14ac:dyDescent="0.25">
      <c r="B36" s="46" t="s">
        <v>79</v>
      </c>
      <c r="C36" s="11" t="s">
        <v>62</v>
      </c>
      <c r="D36" s="11"/>
      <c r="E36" s="11" t="s">
        <v>153</v>
      </c>
      <c r="F36" s="16">
        <v>1</v>
      </c>
      <c r="G36" s="17">
        <v>5</v>
      </c>
      <c r="H36" s="36">
        <f t="shared" ca="1" si="12"/>
        <v>46126</v>
      </c>
      <c r="I36" s="20" t="str">
        <f ca="1">IFERROR(INDEX(C:C,ROW(INDIRECT(MID(ft(task_start),FIND("(",ft(task_start)) + 1,FIND(",",ft(task_start)) - FIND("(",ft(task_start))-1)))),"")</f>
        <v>Task 3.1.6</v>
      </c>
      <c r="J36" s="14">
        <f t="shared" ca="1" si="10"/>
        <v>46132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12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12"/>
    </row>
    <row r="37" spans="2:283" ht="19.5" customHeight="1" x14ac:dyDescent="0.25">
      <c r="B37" s="45"/>
      <c r="C37" s="45" t="s">
        <v>80</v>
      </c>
      <c r="D37" s="9"/>
      <c r="E37" s="9"/>
      <c r="F37" s="16"/>
      <c r="G37" s="15"/>
      <c r="H37" s="10"/>
      <c r="I37" s="20" t="str">
        <f ca="1">IFERROR(INDEX(C:C,ROW(INDIRECT(MID(ft(task_start),FIND("(",ft(task_start)) + 1,FIND(",",ft(task_start)) - FIND("(",ft(task_start))-1)))),"")</f>
        <v/>
      </c>
      <c r="J37" s="14" t="str">
        <f t="shared" ca="1" si="10"/>
        <v/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</row>
    <row r="38" spans="2:283" ht="19.5" customHeight="1" x14ac:dyDescent="0.25">
      <c r="B38" s="46" t="s">
        <v>86</v>
      </c>
      <c r="C38" s="11" t="s">
        <v>81</v>
      </c>
      <c r="D38" s="11"/>
      <c r="E38" s="11" t="s">
        <v>153</v>
      </c>
      <c r="F38" s="16">
        <v>1</v>
      </c>
      <c r="G38" s="17">
        <v>2</v>
      </c>
      <c r="H38" s="36">
        <v>46129</v>
      </c>
      <c r="I38" s="20" t="str">
        <f ca="1">IFERROR(INDEX(C:C,ROW(INDIRECT(MID(ft(task_start),FIND("(",ft(task_start)) + 1,FIND(",",ft(task_start)) - FIND("(",ft(task_start))-1)))),"")</f>
        <v/>
      </c>
      <c r="J38" s="14">
        <f ca="1">IFERROR(WORKDAY.INTL(task_start,task_workdays-1,weekend,holidays),"")</f>
        <v>46132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</row>
    <row r="39" spans="2:283" ht="19.5" customHeight="1" x14ac:dyDescent="0.25">
      <c r="B39" s="46" t="s">
        <v>87</v>
      </c>
      <c r="C39" s="11" t="s">
        <v>82</v>
      </c>
      <c r="D39" s="11"/>
      <c r="E39" s="11" t="s">
        <v>153</v>
      </c>
      <c r="F39" s="16">
        <v>1</v>
      </c>
      <c r="G39" s="17">
        <v>2</v>
      </c>
      <c r="H39" s="36">
        <f t="shared" ref="H39:H63" ca="1" si="13">WORKDAY.INTL(J38,1,weekend,holidays)</f>
        <v>46133</v>
      </c>
      <c r="I39" s="20" t="str">
        <f ca="1">IFERROR(INDEX(C:C,ROW(INDIRECT(MID(ft(task_start),FIND("(",ft(task_start)) + 1,FIND(",",ft(task_start)) - FIND("(",ft(task_start))-1)))),"")</f>
        <v>Task 4.1</v>
      </c>
      <c r="J39" s="14">
        <f t="shared" ca="1" si="10"/>
        <v>46134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</row>
    <row r="40" spans="2:283" ht="19.5" customHeight="1" x14ac:dyDescent="0.25">
      <c r="B40" s="46" t="s">
        <v>88</v>
      </c>
      <c r="C40" s="11" t="s">
        <v>83</v>
      </c>
      <c r="D40" s="11"/>
      <c r="E40" s="11" t="s">
        <v>153</v>
      </c>
      <c r="F40" s="16">
        <v>1</v>
      </c>
      <c r="G40" s="17">
        <v>2</v>
      </c>
      <c r="H40" s="36">
        <f t="shared" ca="1" si="13"/>
        <v>46135</v>
      </c>
      <c r="I40" s="20" t="str">
        <f ca="1">IFERROR(INDEX(C:C,ROW(INDIRECT(MID(ft(task_start),FIND("(",ft(task_start)) + 1,FIND(",",ft(task_start)) - FIND("(",ft(task_start))-1)))),"")</f>
        <v>Task 4.2</v>
      </c>
      <c r="J40" s="14">
        <f t="shared" ca="1" si="10"/>
        <v>46136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</row>
    <row r="41" spans="2:283" ht="19.5" customHeight="1" x14ac:dyDescent="0.25">
      <c r="B41" s="46" t="s">
        <v>89</v>
      </c>
      <c r="C41" s="11" t="s">
        <v>84</v>
      </c>
      <c r="D41" s="11"/>
      <c r="E41" s="11" t="s">
        <v>153</v>
      </c>
      <c r="F41" s="16">
        <v>1</v>
      </c>
      <c r="G41" s="17">
        <v>2</v>
      </c>
      <c r="H41" s="36">
        <f t="shared" ca="1" si="13"/>
        <v>46153</v>
      </c>
      <c r="I41" s="20" t="str">
        <f ca="1">IFERROR(INDEX(C:C,ROW(INDIRECT(MID(ft(task_start),FIND("(",ft(task_start)) + 1,FIND(",",ft(task_start)) - FIND("(",ft(task_start))-1)))),"")</f>
        <v>Task 4.3</v>
      </c>
      <c r="J41" s="14">
        <f t="shared" ca="1" si="10"/>
        <v>46154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12"/>
    </row>
    <row r="42" spans="2:283" ht="21" customHeight="1" x14ac:dyDescent="0.25">
      <c r="B42" s="46" t="s">
        <v>90</v>
      </c>
      <c r="C42" s="11" t="s">
        <v>85</v>
      </c>
      <c r="D42" s="11"/>
      <c r="E42" s="11" t="s">
        <v>153</v>
      </c>
      <c r="F42" s="16">
        <v>1</v>
      </c>
      <c r="G42" s="17">
        <v>2</v>
      </c>
      <c r="H42" s="36">
        <f t="shared" ca="1" si="13"/>
        <v>46155</v>
      </c>
      <c r="I42" s="20" t="str">
        <f ca="1">IFERROR(INDEX(C:C,ROW(INDIRECT(MID(ft(task_start),FIND("(",ft(task_start)) + 1,FIND(",",ft(task_start)) - FIND("(",ft(task_start))-1)))),"")</f>
        <v>Task 4.4</v>
      </c>
      <c r="J42" s="14">
        <f t="shared" ca="1" si="10"/>
        <v>46157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</row>
    <row r="43" spans="2:283" ht="21" customHeight="1" x14ac:dyDescent="0.25">
      <c r="B43" s="46" t="s">
        <v>93</v>
      </c>
      <c r="C43" s="11" t="s">
        <v>94</v>
      </c>
      <c r="D43" s="11"/>
      <c r="E43" s="11" t="s">
        <v>153</v>
      </c>
      <c r="F43" s="16">
        <v>1</v>
      </c>
      <c r="G43" s="17">
        <v>2</v>
      </c>
      <c r="H43" s="36">
        <f t="shared" ca="1" si="13"/>
        <v>46160</v>
      </c>
      <c r="I43" s="20" t="str">
        <f ca="1">IFERROR(INDEX(C:C,ROW(INDIRECT(MID(ft(task_start),FIND("(",ft(task_start)) + 1,FIND(",",ft(task_start)) - FIND("(",ft(task_start))-1)))),"")</f>
        <v>Task 4.5</v>
      </c>
      <c r="J43" s="14">
        <f t="shared" ca="1" si="10"/>
        <v>46161</v>
      </c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/>
    </row>
    <row r="44" spans="2:283" ht="21" customHeight="1" x14ac:dyDescent="0.25">
      <c r="B44" s="46" t="s">
        <v>95</v>
      </c>
      <c r="C44" s="11" t="s">
        <v>96</v>
      </c>
      <c r="D44" s="11"/>
      <c r="E44" s="11" t="s">
        <v>153</v>
      </c>
      <c r="F44" s="16">
        <v>1</v>
      </c>
      <c r="G44" s="17">
        <v>2</v>
      </c>
      <c r="H44" s="36">
        <f t="shared" ca="1" si="13"/>
        <v>46162</v>
      </c>
      <c r="I44" s="20" t="str">
        <f ca="1">IFERROR(INDEX(C:C,ROW(INDIRECT(MID(ft(task_start),FIND("(",ft(task_start)) + 1,FIND(",",ft(task_start)) - FIND("(",ft(task_start))-1)))),"")</f>
        <v>Task 4.6</v>
      </c>
      <c r="J44" s="14">
        <f t="shared" ca="1" si="10"/>
        <v>46163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</row>
    <row r="45" spans="2:283" ht="21" customHeight="1" x14ac:dyDescent="0.25">
      <c r="B45" s="46" t="s">
        <v>97</v>
      </c>
      <c r="C45" s="11" t="s">
        <v>98</v>
      </c>
      <c r="D45" s="11"/>
      <c r="E45" s="11" t="s">
        <v>153</v>
      </c>
      <c r="F45" s="16">
        <v>1</v>
      </c>
      <c r="G45" s="17">
        <v>2</v>
      </c>
      <c r="H45" s="36">
        <f t="shared" ca="1" si="13"/>
        <v>46164</v>
      </c>
      <c r="I45" s="20" t="str">
        <f ca="1">IFERROR(INDEX(C:C,ROW(INDIRECT(MID(ft(task_start),FIND("(",ft(task_start)) + 1,FIND(",",ft(task_start)) - FIND("(",ft(task_start))-1)))),"")</f>
        <v>Task 4.7</v>
      </c>
      <c r="J45" s="14">
        <f t="shared" ca="1" si="10"/>
        <v>46168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</row>
    <row r="46" spans="2:283" ht="21" customHeight="1" x14ac:dyDescent="0.25">
      <c r="B46" s="46" t="s">
        <v>99</v>
      </c>
      <c r="C46" s="11" t="s">
        <v>100</v>
      </c>
      <c r="D46" s="11"/>
      <c r="E46" s="11" t="s">
        <v>153</v>
      </c>
      <c r="F46" s="16">
        <v>1</v>
      </c>
      <c r="G46" s="17">
        <v>2</v>
      </c>
      <c r="H46" s="36">
        <f t="shared" ca="1" si="13"/>
        <v>46169</v>
      </c>
      <c r="I46" s="20" t="str">
        <f ca="1">IFERROR(INDEX(C:C,ROW(INDIRECT(MID(ft(task_start),FIND("(",ft(task_start)) + 1,FIND(",",ft(task_start)) - FIND("(",ft(task_start))-1)))),"")</f>
        <v>Task 4.8</v>
      </c>
      <c r="J46" s="14">
        <f t="shared" ca="1" si="10"/>
        <v>46170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</row>
    <row r="47" spans="2:283" ht="21" customHeight="1" x14ac:dyDescent="0.25">
      <c r="B47" s="46" t="s">
        <v>118</v>
      </c>
      <c r="C47" s="11" t="s">
        <v>101</v>
      </c>
      <c r="D47" s="11"/>
      <c r="E47" s="11" t="s">
        <v>153</v>
      </c>
      <c r="F47" s="16">
        <v>1</v>
      </c>
      <c r="G47" s="17">
        <v>2</v>
      </c>
      <c r="H47" s="36">
        <f t="shared" ca="1" si="13"/>
        <v>46171</v>
      </c>
      <c r="I47" s="20" t="str">
        <f ca="1">IFERROR(INDEX(C:C,ROW(INDIRECT(MID(ft(task_start),FIND("(",ft(task_start)) + 1,FIND(",",ft(task_start)) - FIND("(",ft(task_start))-1)))),"")</f>
        <v>Task 4.9</v>
      </c>
      <c r="J47" s="14">
        <f t="shared" ca="1" si="10"/>
        <v>46174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12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12"/>
    </row>
    <row r="48" spans="2:283" ht="21" customHeight="1" x14ac:dyDescent="0.25">
      <c r="B48" s="46" t="s">
        <v>119</v>
      </c>
      <c r="C48" s="11" t="s">
        <v>102</v>
      </c>
      <c r="D48" s="11"/>
      <c r="E48" s="11" t="s">
        <v>153</v>
      </c>
      <c r="F48" s="16">
        <v>1</v>
      </c>
      <c r="G48" s="17">
        <v>2</v>
      </c>
      <c r="H48" s="36">
        <f t="shared" ca="1" si="13"/>
        <v>46175</v>
      </c>
      <c r="I48" s="20" t="str">
        <f ca="1">IFERROR(INDEX(C:C,ROW(INDIRECT(MID(ft(task_start),FIND("(",ft(task_start)) + 1,FIND(",",ft(task_start)) - FIND("(",ft(task_start))-1)))),"")</f>
        <v>Task 4.1.0</v>
      </c>
      <c r="J48" s="14">
        <f t="shared" ca="1" si="10"/>
        <v>46176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12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12"/>
    </row>
    <row r="49" spans="2:283" ht="21" customHeight="1" x14ac:dyDescent="0.25">
      <c r="B49" s="46" t="s">
        <v>120</v>
      </c>
      <c r="C49" s="11" t="s">
        <v>103</v>
      </c>
      <c r="D49" s="11"/>
      <c r="E49" s="11" t="s">
        <v>153</v>
      </c>
      <c r="F49" s="16">
        <v>1</v>
      </c>
      <c r="G49" s="17">
        <v>2</v>
      </c>
      <c r="H49" s="36">
        <f t="shared" ca="1" si="13"/>
        <v>46177</v>
      </c>
      <c r="I49" s="20" t="str">
        <f ca="1">IFERROR(INDEX(C:C,ROW(INDIRECT(MID(ft(task_start),FIND("(",ft(task_start)) + 1,FIND(",",ft(task_start)) - FIND("(",ft(task_start))-1)))),"")</f>
        <v>Task 4.1.1</v>
      </c>
      <c r="J49" s="14">
        <f t="shared" ca="1" si="10"/>
        <v>46178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/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/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/>
      <c r="JP49" s="12"/>
      <c r="JQ49" s="12"/>
      <c r="JR49" s="12"/>
      <c r="JS49" s="12"/>
      <c r="JT49" s="12"/>
      <c r="JU49" s="12"/>
      <c r="JV49" s="12"/>
      <c r="JW49" s="12"/>
    </row>
    <row r="50" spans="2:283" ht="21" customHeight="1" x14ac:dyDescent="0.25">
      <c r="B50" s="46" t="s">
        <v>121</v>
      </c>
      <c r="C50" s="11" t="s">
        <v>104</v>
      </c>
      <c r="D50" s="11"/>
      <c r="E50" s="11" t="s">
        <v>153</v>
      </c>
      <c r="F50" s="16">
        <v>1</v>
      </c>
      <c r="G50" s="17">
        <v>2</v>
      </c>
      <c r="H50" s="36">
        <f t="shared" ca="1" si="13"/>
        <v>46181</v>
      </c>
      <c r="I50" s="20" t="str">
        <f ca="1">IFERROR(INDEX(C:C,ROW(INDIRECT(MID(ft(task_start),FIND("(",ft(task_start)) + 1,FIND(",",ft(task_start)) - FIND("(",ft(task_start))-1)))),"")</f>
        <v>Task 4.1.2</v>
      </c>
      <c r="J50" s="14">
        <f t="shared" ca="1" si="10"/>
        <v>46182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</row>
    <row r="51" spans="2:283" ht="21" customHeight="1" x14ac:dyDescent="0.25">
      <c r="B51" s="46" t="s">
        <v>122</v>
      </c>
      <c r="C51" s="11" t="s">
        <v>105</v>
      </c>
      <c r="D51" s="11"/>
      <c r="E51" s="11" t="s">
        <v>153</v>
      </c>
      <c r="F51" s="16">
        <v>1</v>
      </c>
      <c r="G51" s="17">
        <v>2</v>
      </c>
      <c r="H51" s="36">
        <f t="shared" ca="1" si="13"/>
        <v>46183</v>
      </c>
      <c r="I51" s="20" t="str">
        <f ca="1">IFERROR(INDEX(C:C,ROW(INDIRECT(MID(ft(task_start),FIND("(",ft(task_start)) + 1,FIND(",",ft(task_start)) - FIND("(",ft(task_start))-1)))),"")</f>
        <v>Task 4.1.3</v>
      </c>
      <c r="J51" s="14">
        <f t="shared" ca="1" si="10"/>
        <v>46184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</row>
    <row r="52" spans="2:283" ht="21" customHeight="1" x14ac:dyDescent="0.25">
      <c r="B52" s="46" t="s">
        <v>123</v>
      </c>
      <c r="C52" s="11" t="s">
        <v>106</v>
      </c>
      <c r="D52" s="11"/>
      <c r="E52" s="11" t="s">
        <v>153</v>
      </c>
      <c r="F52" s="16">
        <v>1</v>
      </c>
      <c r="G52" s="17">
        <v>2</v>
      </c>
      <c r="H52" s="36">
        <f t="shared" ca="1" si="13"/>
        <v>46185</v>
      </c>
      <c r="I52" s="20" t="str">
        <f ca="1">IFERROR(INDEX(C:C,ROW(INDIRECT(MID(ft(task_start),FIND("(",ft(task_start)) + 1,FIND(",",ft(task_start)) - FIND("(",ft(task_start))-1)))),"")</f>
        <v>Task 4.1.4</v>
      </c>
      <c r="J52" s="14">
        <f t="shared" ca="1" si="10"/>
        <v>46188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</row>
    <row r="53" spans="2:283" ht="21" customHeight="1" x14ac:dyDescent="0.25">
      <c r="B53" s="46" t="s">
        <v>124</v>
      </c>
      <c r="C53" s="11" t="s">
        <v>107</v>
      </c>
      <c r="D53" s="11"/>
      <c r="E53" s="11" t="s">
        <v>153</v>
      </c>
      <c r="F53" s="16">
        <v>1</v>
      </c>
      <c r="G53" s="17">
        <v>2</v>
      </c>
      <c r="H53" s="36">
        <f t="shared" ca="1" si="13"/>
        <v>46189</v>
      </c>
      <c r="I53" s="20" t="str">
        <f ca="1">IFERROR(INDEX(C:C,ROW(INDIRECT(MID(ft(task_start),FIND("(",ft(task_start)) + 1,FIND(",",ft(task_start)) - FIND("(",ft(task_start))-1)))),"")</f>
        <v>Task 4.1.5</v>
      </c>
      <c r="J53" s="14">
        <f t="shared" ca="1" si="10"/>
        <v>46190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12"/>
    </row>
    <row r="54" spans="2:283" ht="21" customHeight="1" x14ac:dyDescent="0.25">
      <c r="B54" s="46" t="s">
        <v>125</v>
      </c>
      <c r="C54" s="11" t="s">
        <v>108</v>
      </c>
      <c r="D54" s="11"/>
      <c r="E54" s="11" t="s">
        <v>153</v>
      </c>
      <c r="F54" s="16">
        <v>1</v>
      </c>
      <c r="G54" s="17">
        <v>2</v>
      </c>
      <c r="H54" s="36">
        <f t="shared" ca="1" si="13"/>
        <v>46191</v>
      </c>
      <c r="I54" s="20" t="str">
        <f ca="1">IFERROR(INDEX(C:C,ROW(INDIRECT(MID(ft(task_start),FIND("(",ft(task_start)) + 1,FIND(",",ft(task_start)) - FIND("(",ft(task_start))-1)))),"")</f>
        <v>Task 4.1.6</v>
      </c>
      <c r="J54" s="14">
        <f t="shared" ca="1" si="10"/>
        <v>46192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</row>
    <row r="55" spans="2:283" ht="21" customHeight="1" x14ac:dyDescent="0.25">
      <c r="B55" s="46" t="s">
        <v>126</v>
      </c>
      <c r="C55" s="11" t="s">
        <v>109</v>
      </c>
      <c r="D55" s="11"/>
      <c r="E55" s="11" t="s">
        <v>153</v>
      </c>
      <c r="F55" s="16">
        <v>1</v>
      </c>
      <c r="G55" s="17">
        <v>2</v>
      </c>
      <c r="H55" s="36">
        <f t="shared" ca="1" si="13"/>
        <v>46195</v>
      </c>
      <c r="I55" s="20" t="str">
        <f ca="1">IFERROR(INDEX(C:C,ROW(INDIRECT(MID(ft(task_start),FIND("(",ft(task_start)) + 1,FIND(",",ft(task_start)) - FIND("(",ft(task_start))-1)))),"")</f>
        <v>Task 4.1.7</v>
      </c>
      <c r="J55" s="14">
        <f t="shared" ca="1" si="10"/>
        <v>46196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/>
    </row>
    <row r="56" spans="2:283" ht="21" customHeight="1" x14ac:dyDescent="0.25">
      <c r="B56" s="46" t="s">
        <v>127</v>
      </c>
      <c r="C56" s="11" t="s">
        <v>110</v>
      </c>
      <c r="D56" s="11"/>
      <c r="E56" s="11" t="s">
        <v>153</v>
      </c>
      <c r="F56" s="16">
        <v>1</v>
      </c>
      <c r="G56" s="17">
        <v>2</v>
      </c>
      <c r="H56" s="36">
        <f t="shared" ca="1" si="13"/>
        <v>46197</v>
      </c>
      <c r="I56" s="20" t="str">
        <f ca="1">IFERROR(INDEX(C:C,ROW(INDIRECT(MID(ft(task_start),FIND("(",ft(task_start)) + 1,FIND(",",ft(task_start)) - FIND("(",ft(task_start))-1)))),"")</f>
        <v>Task 4.1.8</v>
      </c>
      <c r="J56" s="14">
        <f t="shared" ca="1" si="10"/>
        <v>46198</v>
      </c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/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/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/>
      <c r="JV56" s="12"/>
      <c r="JW56" s="12"/>
    </row>
    <row r="57" spans="2:283" ht="20.45" customHeight="1" x14ac:dyDescent="0.25">
      <c r="B57" s="46" t="s">
        <v>128</v>
      </c>
      <c r="C57" s="11" t="s">
        <v>111</v>
      </c>
      <c r="D57" s="11"/>
      <c r="E57" s="11" t="s">
        <v>153</v>
      </c>
      <c r="F57" s="16">
        <v>1</v>
      </c>
      <c r="G57" s="17">
        <v>2</v>
      </c>
      <c r="H57" s="36">
        <f t="shared" ca="1" si="13"/>
        <v>46199</v>
      </c>
      <c r="I57" s="20" t="str">
        <f ca="1">IFERROR(INDEX(C:C,ROW(INDIRECT(MID(ft(task_start),FIND("(",ft(task_start)) + 1,FIND(",",ft(task_start)) - FIND("(",ft(task_start))-1)))),"")</f>
        <v>Task 4.1.9</v>
      </c>
      <c r="J57" s="14">
        <f t="shared" ca="1" si="10"/>
        <v>46202</v>
      </c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</row>
    <row r="58" spans="2:283" ht="20.45" customHeight="1" x14ac:dyDescent="0.25">
      <c r="B58" s="46" t="s">
        <v>129</v>
      </c>
      <c r="C58" s="11" t="s">
        <v>112</v>
      </c>
      <c r="D58" s="11"/>
      <c r="E58" s="11" t="s">
        <v>153</v>
      </c>
      <c r="F58" s="16">
        <v>1</v>
      </c>
      <c r="G58" s="17">
        <v>2</v>
      </c>
      <c r="H58" s="36">
        <f t="shared" ca="1" si="13"/>
        <v>46203</v>
      </c>
      <c r="I58" s="20" t="str">
        <f ca="1">IFERROR(INDEX(C:C,ROW(INDIRECT(MID(ft(task_start),FIND("(",ft(task_start)) + 1,FIND(",",ft(task_start)) - FIND("(",ft(task_start))-1)))),"")</f>
        <v>Task 4.2.0</v>
      </c>
      <c r="J58" s="14">
        <f t="shared" ca="1" si="10"/>
        <v>46204</v>
      </c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/>
    </row>
    <row r="59" spans="2:283" ht="20.45" customHeight="1" x14ac:dyDescent="0.25">
      <c r="B59" s="46" t="s">
        <v>130</v>
      </c>
      <c r="C59" s="11" t="s">
        <v>113</v>
      </c>
      <c r="D59" s="11"/>
      <c r="E59" s="11" t="s">
        <v>153</v>
      </c>
      <c r="F59" s="16">
        <v>1</v>
      </c>
      <c r="G59" s="17">
        <v>2</v>
      </c>
      <c r="H59" s="36">
        <f t="shared" ca="1" si="13"/>
        <v>46205</v>
      </c>
      <c r="I59" s="20" t="str">
        <f ca="1">IFERROR(INDEX(C:C,ROW(INDIRECT(MID(ft(task_start),FIND("(",ft(task_start)) + 1,FIND(",",ft(task_start)) - FIND("(",ft(task_start))-1)))),"")</f>
        <v>Task 4.2.1</v>
      </c>
      <c r="J59" s="14">
        <f t="shared" ca="1" si="10"/>
        <v>46206</v>
      </c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12"/>
    </row>
    <row r="60" spans="2:283" ht="20.45" customHeight="1" x14ac:dyDescent="0.25">
      <c r="B60" s="46" t="s">
        <v>131</v>
      </c>
      <c r="C60" s="11" t="s">
        <v>114</v>
      </c>
      <c r="D60" s="11"/>
      <c r="E60" s="11" t="s">
        <v>153</v>
      </c>
      <c r="F60" s="16">
        <v>1</v>
      </c>
      <c r="G60" s="17">
        <v>2</v>
      </c>
      <c r="H60" s="36">
        <f t="shared" ca="1" si="13"/>
        <v>46210</v>
      </c>
      <c r="I60" s="20" t="str">
        <f ca="1">IFERROR(INDEX(C:C,ROW(INDIRECT(MID(ft(task_start),FIND("(",ft(task_start)) + 1,FIND(",",ft(task_start)) - FIND("(",ft(task_start))-1)))),"")</f>
        <v>Task 4.2.2</v>
      </c>
      <c r="J60" s="14">
        <f t="shared" ca="1" si="10"/>
        <v>46211</v>
      </c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</row>
    <row r="61" spans="2:283" ht="20.45" customHeight="1" x14ac:dyDescent="0.25">
      <c r="B61" s="46" t="s">
        <v>132</v>
      </c>
      <c r="C61" s="11" t="s">
        <v>115</v>
      </c>
      <c r="D61" s="11"/>
      <c r="E61" s="11" t="s">
        <v>153</v>
      </c>
      <c r="F61" s="16">
        <v>1</v>
      </c>
      <c r="G61" s="17">
        <v>2</v>
      </c>
      <c r="H61" s="36">
        <f t="shared" ca="1" si="13"/>
        <v>46212</v>
      </c>
      <c r="I61" s="20" t="str">
        <f ca="1">IFERROR(INDEX(C:C,ROW(INDIRECT(MID(ft(task_start),FIND("(",ft(task_start)) + 1,FIND(",",ft(task_start)) - FIND("(",ft(task_start))-1)))),"")</f>
        <v>Task 4.2.3</v>
      </c>
      <c r="J61" s="14">
        <f t="shared" ca="1" si="10"/>
        <v>46213</v>
      </c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12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12"/>
    </row>
    <row r="62" spans="2:283" ht="20.45" customHeight="1" x14ac:dyDescent="0.25">
      <c r="B62" s="46" t="s">
        <v>133</v>
      </c>
      <c r="C62" s="11" t="s">
        <v>116</v>
      </c>
      <c r="D62" s="11"/>
      <c r="E62" s="11" t="s">
        <v>153</v>
      </c>
      <c r="F62" s="16">
        <v>1</v>
      </c>
      <c r="G62" s="17">
        <v>2</v>
      </c>
      <c r="H62" s="36">
        <f t="shared" ca="1" si="13"/>
        <v>46216</v>
      </c>
      <c r="I62" s="20" t="str">
        <f ca="1">IFERROR(INDEX(C:C,ROW(INDIRECT(MID(ft(task_start),FIND("(",ft(task_start)) + 1,FIND(",",ft(task_start)) - FIND("(",ft(task_start))-1)))),"")</f>
        <v>Task 4.2.4</v>
      </c>
      <c r="J62" s="14">
        <f t="shared" ca="1" si="10"/>
        <v>46217</v>
      </c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12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12"/>
    </row>
    <row r="63" spans="2:283" ht="20.45" customHeight="1" x14ac:dyDescent="0.25">
      <c r="B63" s="46" t="s">
        <v>134</v>
      </c>
      <c r="C63" s="11" t="s">
        <v>117</v>
      </c>
      <c r="D63" s="11"/>
      <c r="E63" s="11" t="s">
        <v>153</v>
      </c>
      <c r="F63" s="16">
        <v>1</v>
      </c>
      <c r="G63" s="17">
        <v>2</v>
      </c>
      <c r="H63" s="36">
        <f t="shared" ca="1" si="13"/>
        <v>46218</v>
      </c>
      <c r="I63" s="20" t="str">
        <f ca="1">IFERROR(INDEX(C:C,ROW(INDIRECT(MID(ft(task_start),FIND("(",ft(task_start)) + 1,FIND(",",ft(task_start)) - FIND("(",ft(task_start))-1)))),"")</f>
        <v>Task 4.2.5</v>
      </c>
      <c r="J63" s="14">
        <f t="shared" ca="1" si="10"/>
        <v>46219</v>
      </c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</row>
    <row r="64" spans="2:283" ht="19.5" customHeight="1" x14ac:dyDescent="0.25">
      <c r="B64" s="45"/>
      <c r="C64" s="45" t="s">
        <v>135</v>
      </c>
      <c r="D64" s="9"/>
      <c r="E64" s="9"/>
      <c r="F64" s="16"/>
      <c r="G64" s="15"/>
      <c r="H64" s="10"/>
      <c r="I64" s="20" t="str">
        <f ca="1">IFERROR(INDEX(C:C,ROW(INDIRECT(MID(ft(task_start),FIND("(",ft(task_start)) + 1,FIND(",",ft(task_start)) - FIND("(",ft(task_start))-1)))),"")</f>
        <v/>
      </c>
      <c r="J64" s="14" t="str">
        <f t="shared" ca="1" si="10"/>
        <v/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</row>
    <row r="65" spans="2:283" ht="18.600000000000001" customHeight="1" x14ac:dyDescent="0.25">
      <c r="B65" s="46" t="s">
        <v>136</v>
      </c>
      <c r="C65" s="11" t="s">
        <v>137</v>
      </c>
      <c r="D65" s="11"/>
      <c r="E65" s="11" t="s">
        <v>153</v>
      </c>
      <c r="F65" s="16">
        <v>1</v>
      </c>
      <c r="G65" s="17">
        <v>3</v>
      </c>
      <c r="H65" s="36">
        <v>46218</v>
      </c>
      <c r="I65" s="20" t="str">
        <f ca="1">IFERROR(INDEX(C:C,ROW(INDIRECT(MID(ft(task_start),FIND("(",ft(task_start)) + 1,FIND(",",ft(task_start)) - FIND("(",ft(task_start))-1)))),"")</f>
        <v/>
      </c>
      <c r="J65" s="14">
        <f ca="1">IFERROR(WORKDAY.INTL(task_start,task_workdays-1,weekend,holidays),"")</f>
        <v>46220</v>
      </c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12"/>
    </row>
    <row r="66" spans="2:283" ht="18.600000000000001" customHeight="1" x14ac:dyDescent="0.25">
      <c r="B66" s="46" t="s">
        <v>138</v>
      </c>
      <c r="C66" s="11" t="s">
        <v>139</v>
      </c>
      <c r="D66" s="11"/>
      <c r="E66" s="11" t="s">
        <v>153</v>
      </c>
      <c r="F66" s="16">
        <v>1</v>
      </c>
      <c r="G66" s="17">
        <v>3</v>
      </c>
      <c r="H66" s="36">
        <f ca="1">WORKDAY.INTL(J65,1,weekend,holidays)</f>
        <v>46223</v>
      </c>
      <c r="I66" s="20" t="str">
        <f ca="1">IFERROR(INDEX(C:C,ROW(INDIRECT(MID(ft(task_start),FIND("(",ft(task_start)) + 1,FIND(",",ft(task_start)) - FIND("(",ft(task_start))-1)))),"")</f>
        <v>Task 5.1</v>
      </c>
      <c r="J66" s="14">
        <f ca="1">IFERROR(WORKDAY.INTL(task_start,task_workdays-1,weekend,holidays),"")</f>
        <v>46225</v>
      </c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</row>
    <row r="67" spans="2:283" ht="18.600000000000001" customHeight="1" x14ac:dyDescent="0.25">
      <c r="B67" s="46" t="s">
        <v>140</v>
      </c>
      <c r="C67" s="11" t="s">
        <v>141</v>
      </c>
      <c r="D67" s="11"/>
      <c r="E67" s="11" t="s">
        <v>153</v>
      </c>
      <c r="F67" s="16">
        <v>1</v>
      </c>
      <c r="G67" s="17">
        <v>3</v>
      </c>
      <c r="H67" s="36">
        <f ca="1">WORKDAY.INTL(J66,1,weekend,holidays)</f>
        <v>46226</v>
      </c>
      <c r="I67" s="20" t="str">
        <f ca="1">IFERROR(INDEX(C:C,ROW(INDIRECT(MID(ft(task_start),FIND("(",ft(task_start)) + 1,FIND(",",ft(task_start)) - FIND("(",ft(task_start))-1)))),"")</f>
        <v>Task 5.2</v>
      </c>
      <c r="J67" s="14">
        <f ca="1">IFERROR(WORKDAY.INTL(task_start,task_workdays-1,weekend,holidays),"")</f>
        <v>46230</v>
      </c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/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/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/>
    </row>
    <row r="68" spans="2:283" ht="18.600000000000001" customHeight="1" x14ac:dyDescent="0.25">
      <c r="B68" s="46" t="s">
        <v>142</v>
      </c>
      <c r="C68" s="11" t="s">
        <v>143</v>
      </c>
      <c r="D68" s="11"/>
      <c r="E68" s="11" t="s">
        <v>153</v>
      </c>
      <c r="F68" s="16">
        <v>1</v>
      </c>
      <c r="G68" s="17">
        <v>3</v>
      </c>
      <c r="H68" s="36">
        <f ca="1">WORKDAY.INTL(J67,1,weekend,holidays)</f>
        <v>46231</v>
      </c>
      <c r="I68" s="20" t="str">
        <f ca="1">IFERROR(INDEX(C:C,ROW(INDIRECT(MID(ft(task_start),FIND("(",ft(task_start)) + 1,FIND(",",ft(task_start)) - FIND("(",ft(task_start))-1)))),"")</f>
        <v>Task 5.3</v>
      </c>
      <c r="J68" s="14">
        <f ca="1">IFERROR(WORKDAY.INTL(task_start,task_workdays-1,weekend,holidays),"")</f>
        <v>46233</v>
      </c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/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/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/>
      <c r="JV68" s="12"/>
      <c r="JW68" s="12"/>
    </row>
    <row r="69" spans="2:283" ht="18.600000000000001" customHeight="1" x14ac:dyDescent="0.25">
      <c r="B69" s="46" t="s">
        <v>144</v>
      </c>
      <c r="C69" s="11" t="s">
        <v>145</v>
      </c>
      <c r="D69" s="11"/>
      <c r="E69" s="11" t="s">
        <v>153</v>
      </c>
      <c r="F69" s="16">
        <v>1</v>
      </c>
      <c r="G69" s="17">
        <v>3</v>
      </c>
      <c r="H69" s="36">
        <f ca="1">WORKDAY.INTL(J68,1,weekend,holidays)</f>
        <v>46234</v>
      </c>
      <c r="I69" s="20" t="str">
        <f ca="1">IFERROR(INDEX(C:C,ROW(INDIRECT(MID(ft(task_start),FIND("(",ft(task_start)) + 1,FIND(",",ft(task_start)) - FIND("(",ft(task_start))-1)))),"")</f>
        <v>Task 5.4</v>
      </c>
      <c r="J69" s="14">
        <f ca="1">IFERROR(WORKDAY.INTL(task_start,task_workdays-1,weekend,holidays),"")</f>
        <v>46238</v>
      </c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</row>
  </sheetData>
  <mergeCells count="276">
    <mergeCell ref="JH5:JH6"/>
    <mergeCell ref="JI5:JI6"/>
    <mergeCell ref="JJ5:JJ6"/>
    <mergeCell ref="JK5:JK6"/>
    <mergeCell ref="JL5:JL6"/>
    <mergeCell ref="JM5:JM6"/>
    <mergeCell ref="JB5:JB6"/>
    <mergeCell ref="JC5:JC6"/>
    <mergeCell ref="JD5:JD6"/>
    <mergeCell ref="JE5:JE6"/>
    <mergeCell ref="JF5:JF6"/>
    <mergeCell ref="JG5:JG6"/>
    <mergeCell ref="JT5:JT6"/>
    <mergeCell ref="JU5:JU6"/>
    <mergeCell ref="JV5:JV6"/>
    <mergeCell ref="JW5:JW6"/>
    <mergeCell ref="JN5:JN6"/>
    <mergeCell ref="JO5:JO6"/>
    <mergeCell ref="JP5:JP6"/>
    <mergeCell ref="JQ5:JQ6"/>
    <mergeCell ref="JR5:JR6"/>
    <mergeCell ref="JS5:JS6"/>
    <mergeCell ref="IW5:IW6"/>
    <mergeCell ref="IX5:IX6"/>
    <mergeCell ref="IY5:IY6"/>
    <mergeCell ref="IZ5:IZ6"/>
    <mergeCell ref="JA5:JA6"/>
    <mergeCell ref="IP5:IP6"/>
    <mergeCell ref="IQ5:IQ6"/>
    <mergeCell ref="IR5:IR6"/>
    <mergeCell ref="IS5:IS6"/>
    <mergeCell ref="IT5:IT6"/>
    <mergeCell ref="IU5:IU6"/>
    <mergeCell ref="IV5:IV6"/>
    <mergeCell ref="IJ5:IJ6"/>
    <mergeCell ref="IK5:IK6"/>
    <mergeCell ref="IL5:IL6"/>
    <mergeCell ref="IM5:IM6"/>
    <mergeCell ref="IN5:IN6"/>
    <mergeCell ref="IO5:IO6"/>
    <mergeCell ref="ID5:ID6"/>
    <mergeCell ref="IE5:IE6"/>
    <mergeCell ref="IF5:IF6"/>
    <mergeCell ref="IG5:IG6"/>
    <mergeCell ref="IH5:IH6"/>
    <mergeCell ref="II5:II6"/>
    <mergeCell ref="HX5:HX6"/>
    <mergeCell ref="HY5:HY6"/>
    <mergeCell ref="HZ5:HZ6"/>
    <mergeCell ref="IA5:IA6"/>
    <mergeCell ref="IB5:IB6"/>
    <mergeCell ref="IC5:IC6"/>
    <mergeCell ref="HR5:HR6"/>
    <mergeCell ref="HS5:HS6"/>
    <mergeCell ref="HT5:HT6"/>
    <mergeCell ref="HU5:HU6"/>
    <mergeCell ref="HV5:HV6"/>
    <mergeCell ref="HW5:HW6"/>
    <mergeCell ref="HL5:HL6"/>
    <mergeCell ref="HM5:HM6"/>
    <mergeCell ref="HN5:HN6"/>
    <mergeCell ref="HO5:HO6"/>
    <mergeCell ref="HP5:HP6"/>
    <mergeCell ref="HQ5:HQ6"/>
    <mergeCell ref="HF5:HF6"/>
    <mergeCell ref="HG5:HG6"/>
    <mergeCell ref="HH5:HH6"/>
    <mergeCell ref="HI5:HI6"/>
    <mergeCell ref="HJ5:HJ6"/>
    <mergeCell ref="HK5:HK6"/>
    <mergeCell ref="GZ5:GZ6"/>
    <mergeCell ref="HA5:HA6"/>
    <mergeCell ref="HB5:HB6"/>
    <mergeCell ref="HC5:HC6"/>
    <mergeCell ref="HD5:HD6"/>
    <mergeCell ref="HE5:HE6"/>
    <mergeCell ref="GT5:GT6"/>
    <mergeCell ref="GU5:GU6"/>
    <mergeCell ref="GV5:GV6"/>
    <mergeCell ref="GW5:GW6"/>
    <mergeCell ref="GX5:GX6"/>
    <mergeCell ref="GY5:GY6"/>
    <mergeCell ref="GN5:GN6"/>
    <mergeCell ref="GO5:GO6"/>
    <mergeCell ref="GP5:GP6"/>
    <mergeCell ref="GQ5:GQ6"/>
    <mergeCell ref="GR5:GR6"/>
    <mergeCell ref="GS5:GS6"/>
    <mergeCell ref="GH5:GH6"/>
    <mergeCell ref="GI5:GI6"/>
    <mergeCell ref="GJ5:GJ6"/>
    <mergeCell ref="GK5:GK6"/>
    <mergeCell ref="GL5:GL6"/>
    <mergeCell ref="GM5:GM6"/>
    <mergeCell ref="GB5:GB6"/>
    <mergeCell ref="GC5:GC6"/>
    <mergeCell ref="GD5:GD6"/>
    <mergeCell ref="GE5:GE6"/>
    <mergeCell ref="GF5:GF6"/>
    <mergeCell ref="GG5:GG6"/>
    <mergeCell ref="FV5:FV6"/>
    <mergeCell ref="FW5:FW6"/>
    <mergeCell ref="FX5:FX6"/>
    <mergeCell ref="FY5:FY6"/>
    <mergeCell ref="FZ5:FZ6"/>
    <mergeCell ref="GA5:GA6"/>
    <mergeCell ref="FP5:FP6"/>
    <mergeCell ref="FQ5:FQ6"/>
    <mergeCell ref="FR5:FR6"/>
    <mergeCell ref="FS5:FS6"/>
    <mergeCell ref="FT5:FT6"/>
    <mergeCell ref="FU5:FU6"/>
    <mergeCell ref="FJ5:FJ6"/>
    <mergeCell ref="FK5:FK6"/>
    <mergeCell ref="FL5:FL6"/>
    <mergeCell ref="FM5:FM6"/>
    <mergeCell ref="FN5:FN6"/>
    <mergeCell ref="FO5:FO6"/>
    <mergeCell ref="FD5:FD6"/>
    <mergeCell ref="FE5:FE6"/>
    <mergeCell ref="FF5:FF6"/>
    <mergeCell ref="FG5:FG6"/>
    <mergeCell ref="FH5:FH6"/>
    <mergeCell ref="FI5:FI6"/>
    <mergeCell ref="EX5:EX6"/>
    <mergeCell ref="EY5:EY6"/>
    <mergeCell ref="EZ5:EZ6"/>
    <mergeCell ref="FA5:FA6"/>
    <mergeCell ref="FB5:FB6"/>
    <mergeCell ref="FC5:FC6"/>
    <mergeCell ref="ER5:ER6"/>
    <mergeCell ref="ES5:ES6"/>
    <mergeCell ref="ET5:ET6"/>
    <mergeCell ref="EU5:EU6"/>
    <mergeCell ref="EV5:EV6"/>
    <mergeCell ref="EW5:EW6"/>
    <mergeCell ref="EL5:EL6"/>
    <mergeCell ref="EM5:EM6"/>
    <mergeCell ref="EN5:EN6"/>
    <mergeCell ref="EO5:EO6"/>
    <mergeCell ref="EP5:EP6"/>
    <mergeCell ref="EQ5:EQ6"/>
    <mergeCell ref="EF5:EF6"/>
    <mergeCell ref="EG5:EG6"/>
    <mergeCell ref="EH5:EH6"/>
    <mergeCell ref="EI5:EI6"/>
    <mergeCell ref="EJ5:EJ6"/>
    <mergeCell ref="EK5:EK6"/>
    <mergeCell ref="DZ5:DZ6"/>
    <mergeCell ref="EA5:EA6"/>
    <mergeCell ref="EB5:EB6"/>
    <mergeCell ref="EC5:EC6"/>
    <mergeCell ref="ED5:ED6"/>
    <mergeCell ref="EE5:EE6"/>
    <mergeCell ref="DT5:DT6"/>
    <mergeCell ref="DU5:DU6"/>
    <mergeCell ref="DV5:DV6"/>
    <mergeCell ref="DW5:DW6"/>
    <mergeCell ref="DX5:DX6"/>
    <mergeCell ref="DY5:DY6"/>
    <mergeCell ref="DN5:DN6"/>
    <mergeCell ref="DO5:DO6"/>
    <mergeCell ref="DP5:DP6"/>
    <mergeCell ref="DQ5:DQ6"/>
    <mergeCell ref="DR5:DR6"/>
    <mergeCell ref="DS5:DS6"/>
    <mergeCell ref="DH5:DH6"/>
    <mergeCell ref="DI5:DI6"/>
    <mergeCell ref="DJ5:DJ6"/>
    <mergeCell ref="DK5:DK6"/>
    <mergeCell ref="DL5:DL6"/>
    <mergeCell ref="DM5:DM6"/>
    <mergeCell ref="DB5:DB6"/>
    <mergeCell ref="DC5:DC6"/>
    <mergeCell ref="DD5:DD6"/>
    <mergeCell ref="DE5:DE6"/>
    <mergeCell ref="DF5:DF6"/>
    <mergeCell ref="DG5:DG6"/>
    <mergeCell ref="CV5:CV6"/>
    <mergeCell ref="CW5:CW6"/>
    <mergeCell ref="CX5:CX6"/>
    <mergeCell ref="CY5:CY6"/>
    <mergeCell ref="CZ5:CZ6"/>
    <mergeCell ref="DA5:DA6"/>
    <mergeCell ref="CP5:CP6"/>
    <mergeCell ref="CQ5:CQ6"/>
    <mergeCell ref="CR5:CR6"/>
    <mergeCell ref="CS5:CS6"/>
    <mergeCell ref="CT5:CT6"/>
    <mergeCell ref="CU5:CU6"/>
    <mergeCell ref="CJ5:CJ6"/>
    <mergeCell ref="CK5:CK6"/>
    <mergeCell ref="CL5:CL6"/>
    <mergeCell ref="CM5:CM6"/>
    <mergeCell ref="CN5:CN6"/>
    <mergeCell ref="CO5:CO6"/>
    <mergeCell ref="CD5:CD6"/>
    <mergeCell ref="CE5:CE6"/>
    <mergeCell ref="CF5:CF6"/>
    <mergeCell ref="CG5:CG6"/>
    <mergeCell ref="CH5:CH6"/>
    <mergeCell ref="CI5:CI6"/>
    <mergeCell ref="BX5:BX6"/>
    <mergeCell ref="BY5:BY6"/>
    <mergeCell ref="BZ5:BZ6"/>
    <mergeCell ref="CA5:CA6"/>
    <mergeCell ref="CB5:CB6"/>
    <mergeCell ref="CC5:CC6"/>
    <mergeCell ref="BR5:BR6"/>
    <mergeCell ref="BS5:BS6"/>
    <mergeCell ref="BT5:BT6"/>
    <mergeCell ref="BU5:BU6"/>
    <mergeCell ref="BV5:BV6"/>
    <mergeCell ref="BW5:BW6"/>
    <mergeCell ref="BL5:BL6"/>
    <mergeCell ref="BM5:BM6"/>
    <mergeCell ref="BN5:BN6"/>
    <mergeCell ref="BO5:BO6"/>
    <mergeCell ref="BP5:BP6"/>
    <mergeCell ref="BQ5:BQ6"/>
    <mergeCell ref="BF5:BF6"/>
    <mergeCell ref="BG5:BG6"/>
    <mergeCell ref="BH5:BH6"/>
    <mergeCell ref="BI5:BI6"/>
    <mergeCell ref="BJ5:BJ6"/>
    <mergeCell ref="BK5:BK6"/>
    <mergeCell ref="AZ5:AZ6"/>
    <mergeCell ref="BA5:BA6"/>
    <mergeCell ref="BB5:BB6"/>
    <mergeCell ref="BC5:BC6"/>
    <mergeCell ref="BD5:BD6"/>
    <mergeCell ref="BE5:BE6"/>
    <mergeCell ref="AT5:AT6"/>
    <mergeCell ref="AU5:AU6"/>
    <mergeCell ref="AV5:AV6"/>
    <mergeCell ref="AW5:AW6"/>
    <mergeCell ref="AX5:AX6"/>
    <mergeCell ref="AY5:AY6"/>
    <mergeCell ref="AN5:AN6"/>
    <mergeCell ref="AO5:AO6"/>
    <mergeCell ref="AP5:AP6"/>
    <mergeCell ref="AQ5:AQ6"/>
    <mergeCell ref="AR5:AR6"/>
    <mergeCell ref="AS5:AS6"/>
    <mergeCell ref="AH5:AH6"/>
    <mergeCell ref="AI5:AI6"/>
    <mergeCell ref="AJ5:AJ6"/>
    <mergeCell ref="AK5:AK6"/>
    <mergeCell ref="AL5:AL6"/>
    <mergeCell ref="AM5:AM6"/>
    <mergeCell ref="AB5:AB6"/>
    <mergeCell ref="AC5:AC6"/>
    <mergeCell ref="AD5:AD6"/>
    <mergeCell ref="AE5:AE6"/>
    <mergeCell ref="AF5:AF6"/>
    <mergeCell ref="AG5:AG6"/>
    <mergeCell ref="Q5:Q6"/>
    <mergeCell ref="W5:W6"/>
    <mergeCell ref="X5:X6"/>
    <mergeCell ref="Y5:Y6"/>
    <mergeCell ref="Z5:Z6"/>
    <mergeCell ref="AA5:AA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L5:L6"/>
    <mergeCell ref="D7:E7"/>
    <mergeCell ref="D5:E5"/>
    <mergeCell ref="D4:E4"/>
    <mergeCell ref="C2:G2"/>
  </mergeCells>
  <phoneticPr fontId="16" type="noConversion"/>
  <conditionalFormatting sqref="L8:JW20 L22:JW28 GB21:JW21 L21:FZ21">
    <cfRule type="expression" priority="84" stopIfTrue="1">
      <formula>task_end=""</formula>
    </cfRule>
    <cfRule type="expression" priority="85" stopIfTrue="1">
      <formula>NOT(AND(date&gt;=task_start,date&lt;=task_end))</formula>
    </cfRule>
    <cfRule type="expression" dxfId="87" priority="86">
      <formula>IF(NETWORKDAYS.INTL(date,date,weekend,holidays)=1, date&lt;=WORKDAY.INTL(task_start,FLOOR(task_progress*task_workdays,1)-1,weekend,holidays), WORKDAY.INTL(date,-1,weekend,holidays)&lt;=WORKDAY.INTL(task_start,FLOOR(task_progress*task_workdays,1)-1,weekend,holidays))</formula>
    </cfRule>
    <cfRule type="expression" dxfId="86" priority="87">
      <formula>display_overdue *  (date&lt;TODAY())</formula>
    </cfRule>
    <cfRule type="expression" dxfId="85" priority="109">
      <formula>TRUE</formula>
    </cfRule>
  </conditionalFormatting>
  <conditionalFormatting sqref="F8:F69">
    <cfRule type="dataBar" priority="108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{BB3D61A8-D972-45F6-8109-1A5B593FD825}</x14:id>
        </ext>
      </extLst>
    </cfRule>
  </conditionalFormatting>
  <conditionalFormatting sqref="L5:JW20 L22:JW28 GB21:JW21 L21:FZ21">
    <cfRule type="expression" dxfId="84" priority="82">
      <formula>NETWORKDAYS.INTL(date,date,weekend,holidays)=0</formula>
    </cfRule>
    <cfRule type="expression" dxfId="83" priority="83">
      <formula>date=TODAY()</formula>
    </cfRule>
  </conditionalFormatting>
  <conditionalFormatting sqref="L5:JW7">
    <cfRule type="expression" dxfId="82" priority="104">
      <formula>1*ISNUMBER(MATCH(date,holidays,0))</formula>
    </cfRule>
  </conditionalFormatting>
  <conditionalFormatting sqref="H8:I21 I22:I28 H22:H36">
    <cfRule type="expression" dxfId="81" priority="102">
      <formula>_xludf.isformula(task_start)</formula>
    </cfRule>
  </conditionalFormatting>
  <conditionalFormatting sqref="D8:D69">
    <cfRule type="expression" priority="90" stopIfTrue="1">
      <formula>task_assigned_to=""</formula>
    </cfRule>
  </conditionalFormatting>
  <conditionalFormatting sqref="L29:JW36">
    <cfRule type="expression" priority="52" stopIfTrue="1">
      <formula>task_end=""</formula>
    </cfRule>
    <cfRule type="expression" priority="53" stopIfTrue="1">
      <formula>NOT(AND(date&gt;=task_start,date&lt;=task_end))</formula>
    </cfRule>
    <cfRule type="expression" dxfId="80" priority="54">
      <formula>IF(NETWORKDAYS.INTL(date,date,weekend,holidays)=1, date&lt;=WORKDAY.INTL(task_start,FLOOR(task_progress*task_workdays,1)-1,weekend,holidays), WORKDAY.INTL(date,-1,weekend,holidays)&lt;=WORKDAY.INTL(task_start,FLOOR(task_progress*task_workdays,1)-1,weekend,holidays))</formula>
    </cfRule>
    <cfRule type="expression" dxfId="79" priority="55">
      <formula>display_overdue *  (date&lt;TODAY())</formula>
    </cfRule>
    <cfRule type="expression" dxfId="78" priority="65">
      <formula>TRUE</formula>
    </cfRule>
  </conditionalFormatting>
  <conditionalFormatting sqref="L29:JW36">
    <cfRule type="expression" dxfId="77" priority="50">
      <formula>NETWORKDAYS.INTL(date,date,weekend,holidays)=0</formula>
    </cfRule>
    <cfRule type="expression" dxfId="76" priority="51">
      <formula>date=TODAY()</formula>
    </cfRule>
  </conditionalFormatting>
  <conditionalFormatting sqref="I29:I36">
    <cfRule type="expression" dxfId="75" priority="60">
      <formula>_xludf.isformula(task_start)</formula>
    </cfRule>
  </conditionalFormatting>
  <conditionalFormatting sqref="L37:JW63">
    <cfRule type="expression" priority="36" stopIfTrue="1">
      <formula>task_end=""</formula>
    </cfRule>
    <cfRule type="expression" priority="37" stopIfTrue="1">
      <formula>NOT(AND(date&gt;=task_start,date&lt;=task_end))</formula>
    </cfRule>
    <cfRule type="expression" dxfId="74" priority="38">
      <formula>IF(NETWORKDAYS.INTL(date,date,weekend,holidays)=1, date&lt;=WORKDAY.INTL(task_start,FLOOR(task_progress*task_workdays,1)-1,weekend,holidays), WORKDAY.INTL(date,-1,weekend,holidays)&lt;=WORKDAY.INTL(task_start,FLOOR(task_progress*task_workdays,1)-1,weekend,holidays))</formula>
    </cfRule>
    <cfRule type="expression" dxfId="73" priority="39">
      <formula>display_overdue *  (date&lt;TODAY())</formula>
    </cfRule>
    <cfRule type="expression" dxfId="72" priority="49">
      <formula>TRUE</formula>
    </cfRule>
  </conditionalFormatting>
  <conditionalFormatting sqref="L37:JW63">
    <cfRule type="expression" dxfId="71" priority="34">
      <formula>NETWORKDAYS.INTL(date,date,weekend,holidays)=0</formula>
    </cfRule>
    <cfRule type="expression" dxfId="70" priority="35">
      <formula>date=TODAY()</formula>
    </cfRule>
  </conditionalFormatting>
  <conditionalFormatting sqref="H37:I63">
    <cfRule type="expression" dxfId="69" priority="44">
      <formula>_xludf.isformula(task_start)</formula>
    </cfRule>
  </conditionalFormatting>
  <conditionalFormatting sqref="L64:JW64">
    <cfRule type="expression" priority="20" stopIfTrue="1">
      <formula>task_end=""</formula>
    </cfRule>
    <cfRule type="expression" priority="21" stopIfTrue="1">
      <formula>NOT(AND(date&gt;=task_start,date&lt;=task_end))</formula>
    </cfRule>
    <cfRule type="expression" dxfId="68" priority="22">
      <formula>IF(NETWORKDAYS.INTL(date,date,weekend,holidays)=1, date&lt;=WORKDAY.INTL(task_start,FLOOR(task_progress*task_workdays,1)-1,weekend,holidays), WORKDAY.INTL(date,-1,weekend,holidays)&lt;=WORKDAY.INTL(task_start,FLOOR(task_progress*task_workdays,1)-1,weekend,holidays))</formula>
    </cfRule>
    <cfRule type="expression" dxfId="67" priority="23">
      <formula>display_overdue *  (date&lt;TODAY())</formula>
    </cfRule>
    <cfRule type="expression" dxfId="66" priority="33">
      <formula>TRUE</formula>
    </cfRule>
  </conditionalFormatting>
  <conditionalFormatting sqref="L64:JW64">
    <cfRule type="expression" dxfId="65" priority="18">
      <formula>NETWORKDAYS.INTL(date,date,weekend,holidays)=0</formula>
    </cfRule>
    <cfRule type="expression" dxfId="64" priority="19">
      <formula>date=TODAY()</formula>
    </cfRule>
  </conditionalFormatting>
  <conditionalFormatting sqref="H64:I64">
    <cfRule type="expression" dxfId="63" priority="28">
      <formula>_xludf.isformula(task_start)</formula>
    </cfRule>
  </conditionalFormatting>
  <conditionalFormatting sqref="L65:JW69">
    <cfRule type="expression" priority="4" stopIfTrue="1">
      <formula>task_end=""</formula>
    </cfRule>
    <cfRule type="expression" priority="5" stopIfTrue="1">
      <formula>NOT(AND(date&gt;=task_start,date&lt;=task_end))</formula>
    </cfRule>
    <cfRule type="expression" dxfId="62" priority="6">
      <formula>IF(NETWORKDAYS.INTL(date,date,weekend,holidays)=1, date&lt;=WORKDAY.INTL(task_start,FLOOR(task_progress*task_workdays,1)-1,weekend,holidays), WORKDAY.INTL(date,-1,weekend,holidays)&lt;=WORKDAY.INTL(task_start,FLOOR(task_progress*task_workdays,1)-1,weekend,holidays))</formula>
    </cfRule>
    <cfRule type="expression" dxfId="61" priority="7">
      <formula>display_overdue *  (date&lt;TODAY())</formula>
    </cfRule>
    <cfRule type="expression" dxfId="60" priority="17">
      <formula>TRUE</formula>
    </cfRule>
  </conditionalFormatting>
  <conditionalFormatting sqref="L65:JW69">
    <cfRule type="expression" dxfId="59" priority="2">
      <formula>NETWORKDAYS.INTL(date,date,weekend,holidays)=0</formula>
    </cfRule>
    <cfRule type="expression" dxfId="58" priority="3">
      <formula>date=TODAY()</formula>
    </cfRule>
  </conditionalFormatting>
  <conditionalFormatting sqref="H65:I65 I66:I69">
    <cfRule type="expression" dxfId="57" priority="12">
      <formula>_xludf.isformula(task_start)</formula>
    </cfRule>
  </conditionalFormatting>
  <conditionalFormatting sqref="H66:H69">
    <cfRule type="expression" dxfId="56" priority="1">
      <formula>_xludf.isformula(task_start)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11</xdr:col>
                    <xdr:colOff>9525</xdr:colOff>
                    <xdr:row>2</xdr:row>
                    <xdr:rowOff>123825</xdr:rowOff>
                  </from>
                  <to>
                    <xdr:col>23</xdr:col>
                    <xdr:colOff>85725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600075</xdr:colOff>
                    <xdr:row>2</xdr:row>
                    <xdr:rowOff>133350</xdr:rowOff>
                  </from>
                  <to>
                    <xdr:col>9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600075</xdr:colOff>
                    <xdr:row>4</xdr:row>
                    <xdr:rowOff>28575</xdr:rowOff>
                  </from>
                  <to>
                    <xdr:col>9</xdr:col>
                    <xdr:colOff>628650</xdr:colOff>
                    <xdr:row>4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3D61A8-D972-45F6-8109-1A5B593FD82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F8:F69</xm:sqref>
        </x14:conditionalFormatting>
        <x14:conditionalFormatting xmlns:xm="http://schemas.microsoft.com/office/excel/2006/main">
          <x14:cfRule type="expression" priority="88" id="{D973C7EE-65C0-456F-AB39-2D53E823EA23}">
            <xm:f>AND(display_team_colors,NOT(task_assigned_to=""),task_assigned_to=Settings!$H$15)</xm:f>
            <x14:dxf>
              <fill>
                <patternFill>
                  <bgColor theme="1"/>
                </patternFill>
              </fill>
            </x14:dxf>
          </x14:cfRule>
          <x14:cfRule type="expression" priority="89" id="{A58AA206-96B9-480B-BC4B-98E412D0BD22}">
            <xm:f>AND(display_team_colors,NOT(task_assigned_to=""),task_assigned_to=Settings!$H$16)</xm:f>
            <x14:dxf>
              <fill>
                <patternFill>
                  <bgColor theme="2"/>
                </patternFill>
              </fill>
            </x14:dxf>
          </x14:cfRule>
          <x14:cfRule type="expression" priority="100" id="{ADECF660-5111-48C1-BF0C-EEA783E1950D}">
            <xm:f>AND(display_team_colors,NOT(task_assigned_to=""),task_assigned_to=Settings!$H$17)</xm:f>
            <x14:dxf>
              <fill>
                <patternFill>
                  <bgColor theme="3"/>
                </patternFill>
              </fill>
            </x14:dxf>
          </x14:cfRule>
          <x14:cfRule type="expression" priority="101" id="{D58BF991-3356-499C-B52F-AB154941564F}">
            <xm:f>AND(display_team_colors,NOT(task_assigned_to=""),task_assigned_to=Settings!$H$18)</xm:f>
            <x14:dxf>
              <fill>
                <patternFill>
                  <bgColor theme="4"/>
                </patternFill>
              </fill>
            </x14:dxf>
          </x14:cfRule>
          <x14:cfRule type="expression" priority="103" id="{8D36FE25-217B-4CB6-836C-3C931D84C65F}">
            <xm:f>AND(display_team_colors,NOT(task_assigned_to=""),task_assigned_to=Settings!$H$19)</xm:f>
            <x14:dxf>
              <fill>
                <patternFill>
                  <bgColor theme="5"/>
                </patternFill>
              </fill>
            </x14:dxf>
          </x14:cfRule>
          <x14:cfRule type="expression" priority="105" id="{2D801308-6574-479F-98FF-BC6E0EE36DF6}">
            <xm:f>AND(display_team_colors,NOT(task_assigned_to=""),task_assigned_to=Settings!$H$20)</xm:f>
            <x14:dxf>
              <fill>
                <patternFill>
                  <bgColor theme="6"/>
                </patternFill>
              </fill>
            </x14:dxf>
          </x14:cfRule>
          <x14:cfRule type="expression" priority="106" id="{B788D734-A804-41B8-9DDC-611C3870495F}">
            <xm:f>AND(display_team_colors,NOT(task_assigned_to=""),task_assigned_to=Settings!$H$21)</xm:f>
            <x14:dxf>
              <fill>
                <patternFill>
                  <bgColor theme="7"/>
                </patternFill>
              </fill>
            </x14:dxf>
          </x14:cfRule>
          <x14:cfRule type="expression" priority="107" id="{FBAC42F4-B84C-4F41-B60B-394DAA4749D6}">
            <xm:f>AND(display_team_colors,NOT(task_assigned_to=""),task_assigned_to=Settings!$H$29)</xm:f>
            <x14:dxf>
              <fill>
                <patternFill>
                  <bgColor theme="8"/>
                </patternFill>
              </fill>
            </x14:dxf>
          </x14:cfRule>
          <xm:sqref>L8:JW20 L22:JW28 GB21:JW21 L21:FZ21</xm:sqref>
        </x14:conditionalFormatting>
        <x14:conditionalFormatting xmlns:xm="http://schemas.microsoft.com/office/excel/2006/main">
          <x14:cfRule type="expression" priority="92" id="{60EBFFBA-1521-4085-855C-0D41A1F2D03B}">
            <xm:f>task_assigned_to=Settings!$H$15</xm:f>
            <x14:dxf>
              <fill>
                <patternFill>
                  <bgColor theme="1"/>
                </patternFill>
              </fill>
            </x14:dxf>
          </x14:cfRule>
          <x14:cfRule type="expression" priority="93" id="{CFBCC507-E697-4701-A506-5E0336D8C0B8}">
            <xm:f>task_assigned_to=Settings!$H$16</xm:f>
            <x14:dxf>
              <fill>
                <patternFill>
                  <bgColor theme="2"/>
                </patternFill>
              </fill>
            </x14:dxf>
          </x14:cfRule>
          <x14:cfRule type="expression" priority="94" id="{0D35210C-904D-47DB-B883-2CC87CA701FB}">
            <xm:f>task_assigned_to=Settings!$H$17</xm:f>
            <x14:dxf>
              <fill>
                <patternFill>
                  <bgColor theme="3"/>
                </patternFill>
              </fill>
            </x14:dxf>
          </x14:cfRule>
          <x14:cfRule type="expression" priority="95" id="{F856DAA6-ECE4-43A1-AE6E-A247B1913F6E}">
            <xm:f>task_assigned_to=Settings!$H$18</xm:f>
            <x14:dxf>
              <fill>
                <patternFill>
                  <bgColor theme="4"/>
                </patternFill>
              </fill>
            </x14:dxf>
          </x14:cfRule>
          <x14:cfRule type="expression" priority="96" id="{1870DB81-D797-4F26-9185-1A63C7E2AE52}">
            <xm:f>task_assigned_to=Settings!$H$19</xm:f>
            <x14:dxf>
              <fill>
                <patternFill>
                  <bgColor theme="5"/>
                </patternFill>
              </fill>
            </x14:dxf>
          </x14:cfRule>
          <x14:cfRule type="expression" priority="97" id="{BE1D822D-4A44-478A-B8E2-B658DA2A5055}">
            <xm:f>task_assigned_to=Settings!$H$20</xm:f>
            <x14:dxf>
              <fill>
                <patternFill>
                  <bgColor theme="6"/>
                </patternFill>
              </fill>
            </x14:dxf>
          </x14:cfRule>
          <x14:cfRule type="expression" priority="98" id="{4A7A7D8F-324F-4135-B63C-39FFA997E52C}">
            <xm:f>task_assigned_to=Settings!$H$21</xm:f>
            <x14:dxf>
              <fill>
                <patternFill>
                  <bgColor theme="7"/>
                </patternFill>
              </fill>
            </x14:dxf>
          </x14:cfRule>
          <x14:cfRule type="expression" priority="99" id="{959EEFED-7F25-4B6C-BBED-DC6C05811104}">
            <xm:f>task_assigned_to=Settings!$H$29</xm:f>
            <x14:dxf>
              <fill>
                <patternFill>
                  <bgColor theme="8"/>
                </patternFill>
              </fill>
            </x14:dxf>
          </x14:cfRule>
          <xm:sqref>D8:D69</xm:sqref>
        </x14:conditionalFormatting>
        <x14:conditionalFormatting xmlns:xm="http://schemas.microsoft.com/office/excel/2006/main">
          <x14:cfRule type="expression" priority="56" id="{54DDA8EB-CA9F-49F6-8020-BF483F50BF5D}">
            <xm:f>AND(display_team_colors,NOT(task_assigned_to=""),task_assigned_to=Settings!$H$15)</xm:f>
            <x14:dxf>
              <fill>
                <patternFill>
                  <bgColor theme="1"/>
                </patternFill>
              </fill>
            </x14:dxf>
          </x14:cfRule>
          <x14:cfRule type="expression" priority="57" id="{1DA6BF78-587B-4763-B516-5F683072532F}">
            <xm:f>AND(display_team_colors,NOT(task_assigned_to=""),task_assigned_to=Settings!$H$16)</xm:f>
            <x14:dxf>
              <fill>
                <patternFill>
                  <bgColor theme="2"/>
                </patternFill>
              </fill>
            </x14:dxf>
          </x14:cfRule>
          <x14:cfRule type="expression" priority="58" id="{8DBAEE9B-A37B-4453-B932-F8609F70B22F}">
            <xm:f>AND(display_team_colors,NOT(task_assigned_to=""),task_assigned_to=Settings!$H$17)</xm:f>
            <x14:dxf>
              <fill>
                <patternFill>
                  <bgColor theme="3"/>
                </patternFill>
              </fill>
            </x14:dxf>
          </x14:cfRule>
          <x14:cfRule type="expression" priority="59" id="{1FC0FD24-9B8A-4C0D-9F60-8546D828F36D}">
            <xm:f>AND(display_team_colors,NOT(task_assigned_to=""),task_assigned_to=Settings!$H$18)</xm:f>
            <x14:dxf>
              <fill>
                <patternFill>
                  <bgColor theme="4"/>
                </patternFill>
              </fill>
            </x14:dxf>
          </x14:cfRule>
          <x14:cfRule type="expression" priority="61" id="{D647D181-A7FB-4008-B548-E66BF81BD9C9}">
            <xm:f>AND(display_team_colors,NOT(task_assigned_to=""),task_assigned_to=Settings!$H$19)</xm:f>
            <x14:dxf>
              <fill>
                <patternFill>
                  <bgColor theme="5"/>
                </patternFill>
              </fill>
            </x14:dxf>
          </x14:cfRule>
          <x14:cfRule type="expression" priority="62" id="{A9692743-36B3-43DE-9950-1861733AD6D3}">
            <xm:f>AND(display_team_colors,NOT(task_assigned_to=""),task_assigned_to=Settings!$H$20)</xm:f>
            <x14:dxf>
              <fill>
                <patternFill>
                  <bgColor theme="6"/>
                </patternFill>
              </fill>
            </x14:dxf>
          </x14:cfRule>
          <x14:cfRule type="expression" priority="63" id="{AECCFFAA-8E12-45E9-8FC3-382DF2A78EAF}">
            <xm:f>AND(display_team_colors,NOT(task_assigned_to=""),task_assigned_to=Settings!$H$21)</xm:f>
            <x14:dxf>
              <fill>
                <patternFill>
                  <bgColor theme="7"/>
                </patternFill>
              </fill>
            </x14:dxf>
          </x14:cfRule>
          <x14:cfRule type="expression" priority="64" id="{CE2E9B18-0B50-4C27-891E-FCFA7D086E27}">
            <xm:f>AND(display_team_colors,NOT(task_assigned_to=""),task_assigned_to=Settings!$H$29)</xm:f>
            <x14:dxf>
              <fill>
                <patternFill>
                  <bgColor theme="8"/>
                </patternFill>
              </fill>
            </x14:dxf>
          </x14:cfRule>
          <xm:sqref>L29:JW36</xm:sqref>
        </x14:conditionalFormatting>
        <x14:conditionalFormatting xmlns:xm="http://schemas.microsoft.com/office/excel/2006/main">
          <x14:cfRule type="expression" priority="40" id="{1E4FC3C2-A259-4651-AF26-53AE1C4248B9}">
            <xm:f>AND(display_team_colors,NOT(task_assigned_to=""),task_assigned_to=Settings!$H$15)</xm:f>
            <x14:dxf>
              <fill>
                <patternFill>
                  <bgColor theme="1"/>
                </patternFill>
              </fill>
            </x14:dxf>
          </x14:cfRule>
          <x14:cfRule type="expression" priority="41" id="{446E570D-AF77-40C7-ACC0-EFE5B8230485}">
            <xm:f>AND(display_team_colors,NOT(task_assigned_to=""),task_assigned_to=Settings!$H$16)</xm:f>
            <x14:dxf>
              <fill>
                <patternFill>
                  <bgColor theme="2"/>
                </patternFill>
              </fill>
            </x14:dxf>
          </x14:cfRule>
          <x14:cfRule type="expression" priority="42" id="{139FEDBF-70AD-4067-BAF5-84318E1401B9}">
            <xm:f>AND(display_team_colors,NOT(task_assigned_to=""),task_assigned_to=Settings!$H$17)</xm:f>
            <x14:dxf>
              <fill>
                <patternFill>
                  <bgColor theme="3"/>
                </patternFill>
              </fill>
            </x14:dxf>
          </x14:cfRule>
          <x14:cfRule type="expression" priority="43" id="{DB433F4B-7359-40F4-9BD7-0A337AD27F8D}">
            <xm:f>AND(display_team_colors,NOT(task_assigned_to=""),task_assigned_to=Settings!$H$18)</xm:f>
            <x14:dxf>
              <fill>
                <patternFill>
                  <bgColor theme="4"/>
                </patternFill>
              </fill>
            </x14:dxf>
          </x14:cfRule>
          <x14:cfRule type="expression" priority="45" id="{916CB32E-E4B5-4EF3-BFB3-81073E34C86C}">
            <xm:f>AND(display_team_colors,NOT(task_assigned_to=""),task_assigned_to=Settings!$H$19)</xm:f>
            <x14:dxf>
              <fill>
                <patternFill>
                  <bgColor theme="5"/>
                </patternFill>
              </fill>
            </x14:dxf>
          </x14:cfRule>
          <x14:cfRule type="expression" priority="46" id="{595BAB12-082B-4169-99BA-F58D1F39C8D3}">
            <xm:f>AND(display_team_colors,NOT(task_assigned_to=""),task_assigned_to=Settings!$H$20)</xm:f>
            <x14:dxf>
              <fill>
                <patternFill>
                  <bgColor theme="6"/>
                </patternFill>
              </fill>
            </x14:dxf>
          </x14:cfRule>
          <x14:cfRule type="expression" priority="47" id="{F8F72484-1E3F-4147-8C69-F12D4834F293}">
            <xm:f>AND(display_team_colors,NOT(task_assigned_to=""),task_assigned_to=Settings!$H$21)</xm:f>
            <x14:dxf>
              <fill>
                <patternFill>
                  <bgColor theme="7"/>
                </patternFill>
              </fill>
            </x14:dxf>
          </x14:cfRule>
          <x14:cfRule type="expression" priority="48" id="{6A5E5B8C-71B3-4F61-91D9-8C07C7978567}">
            <xm:f>AND(display_team_colors,NOT(task_assigned_to=""),task_assigned_to=Settings!$H$29)</xm:f>
            <x14:dxf>
              <fill>
                <patternFill>
                  <bgColor theme="8"/>
                </patternFill>
              </fill>
            </x14:dxf>
          </x14:cfRule>
          <xm:sqref>L37:JW63</xm:sqref>
        </x14:conditionalFormatting>
        <x14:conditionalFormatting xmlns:xm="http://schemas.microsoft.com/office/excel/2006/main">
          <x14:cfRule type="expression" priority="24" id="{340460C3-22D5-453C-956D-0069A8ABDEA0}">
            <xm:f>AND(display_team_colors,NOT(task_assigned_to=""),task_assigned_to=Settings!$H$15)</xm:f>
            <x14:dxf>
              <fill>
                <patternFill>
                  <bgColor theme="1"/>
                </patternFill>
              </fill>
            </x14:dxf>
          </x14:cfRule>
          <x14:cfRule type="expression" priority="25" id="{F4A3EAE4-865A-4697-B471-A07FA92595BA}">
            <xm:f>AND(display_team_colors,NOT(task_assigned_to=""),task_assigned_to=Settings!$H$16)</xm:f>
            <x14:dxf>
              <fill>
                <patternFill>
                  <bgColor theme="2"/>
                </patternFill>
              </fill>
            </x14:dxf>
          </x14:cfRule>
          <x14:cfRule type="expression" priority="26" id="{3CE9DE13-52AE-478B-9C2E-D897495112E1}">
            <xm:f>AND(display_team_colors,NOT(task_assigned_to=""),task_assigned_to=Settings!$H$17)</xm:f>
            <x14:dxf>
              <fill>
                <patternFill>
                  <bgColor theme="3"/>
                </patternFill>
              </fill>
            </x14:dxf>
          </x14:cfRule>
          <x14:cfRule type="expression" priority="27" id="{A84F670E-AD9D-4D8B-8D04-C0A9E84E0861}">
            <xm:f>AND(display_team_colors,NOT(task_assigned_to=""),task_assigned_to=Settings!$H$18)</xm:f>
            <x14:dxf>
              <fill>
                <patternFill>
                  <bgColor theme="4"/>
                </patternFill>
              </fill>
            </x14:dxf>
          </x14:cfRule>
          <x14:cfRule type="expression" priority="29" id="{16B0C81F-F54A-475B-B0ED-FD99649CDCC3}">
            <xm:f>AND(display_team_colors,NOT(task_assigned_to=""),task_assigned_to=Settings!$H$19)</xm:f>
            <x14:dxf>
              <fill>
                <patternFill>
                  <bgColor theme="5"/>
                </patternFill>
              </fill>
            </x14:dxf>
          </x14:cfRule>
          <x14:cfRule type="expression" priority="30" id="{54C648DF-5507-45D9-B5E1-36E036B6FA1E}">
            <xm:f>AND(display_team_colors,NOT(task_assigned_to=""),task_assigned_to=Settings!$H$20)</xm:f>
            <x14:dxf>
              <fill>
                <patternFill>
                  <bgColor theme="6"/>
                </patternFill>
              </fill>
            </x14:dxf>
          </x14:cfRule>
          <x14:cfRule type="expression" priority="31" id="{79B5CAEF-E582-483B-B371-FD78DF0CD21E}">
            <xm:f>AND(display_team_colors,NOT(task_assigned_to=""),task_assigned_to=Settings!$H$21)</xm:f>
            <x14:dxf>
              <fill>
                <patternFill>
                  <bgColor theme="7"/>
                </patternFill>
              </fill>
            </x14:dxf>
          </x14:cfRule>
          <x14:cfRule type="expression" priority="32" id="{E869E3A4-9E43-443E-A245-71BF9986FCD9}">
            <xm:f>AND(display_team_colors,NOT(task_assigned_to=""),task_assigned_to=Settings!$H$29)</xm:f>
            <x14:dxf>
              <fill>
                <patternFill>
                  <bgColor theme="8"/>
                </patternFill>
              </fill>
            </x14:dxf>
          </x14:cfRule>
          <xm:sqref>L64:JW64</xm:sqref>
        </x14:conditionalFormatting>
        <x14:conditionalFormatting xmlns:xm="http://schemas.microsoft.com/office/excel/2006/main">
          <x14:cfRule type="expression" priority="8" id="{DD81D8E8-4239-49A7-82D5-9FCE419C2250}">
            <xm:f>AND(display_team_colors,NOT(task_assigned_to=""),task_assigned_to=Settings!$H$15)</xm:f>
            <x14:dxf>
              <fill>
                <patternFill>
                  <bgColor theme="1"/>
                </patternFill>
              </fill>
            </x14:dxf>
          </x14:cfRule>
          <x14:cfRule type="expression" priority="9" id="{44CBE9D4-5F59-48B8-8860-913E33DC2226}">
            <xm:f>AND(display_team_colors,NOT(task_assigned_to=""),task_assigned_to=Settings!$H$16)</xm:f>
            <x14:dxf>
              <fill>
                <patternFill>
                  <bgColor theme="2"/>
                </patternFill>
              </fill>
            </x14:dxf>
          </x14:cfRule>
          <x14:cfRule type="expression" priority="10" id="{415A5D62-2A78-4FF8-9EF6-0B3466927F53}">
            <xm:f>AND(display_team_colors,NOT(task_assigned_to=""),task_assigned_to=Settings!$H$17)</xm:f>
            <x14:dxf>
              <fill>
                <patternFill>
                  <bgColor theme="3"/>
                </patternFill>
              </fill>
            </x14:dxf>
          </x14:cfRule>
          <x14:cfRule type="expression" priority="11" id="{46795A7D-CD41-4E05-94F7-C4B76D187771}">
            <xm:f>AND(display_team_colors,NOT(task_assigned_to=""),task_assigned_to=Settings!$H$18)</xm:f>
            <x14:dxf>
              <fill>
                <patternFill>
                  <bgColor theme="4"/>
                </patternFill>
              </fill>
            </x14:dxf>
          </x14:cfRule>
          <x14:cfRule type="expression" priority="13" id="{7F1AA2C2-D93E-4558-AADB-E100BA2D1CF8}">
            <xm:f>AND(display_team_colors,NOT(task_assigned_to=""),task_assigned_to=Settings!$H$19)</xm:f>
            <x14:dxf>
              <fill>
                <patternFill>
                  <bgColor theme="5"/>
                </patternFill>
              </fill>
            </x14:dxf>
          </x14:cfRule>
          <x14:cfRule type="expression" priority="14" id="{B85C921B-43F8-4324-8A25-CEFE423986FA}">
            <xm:f>AND(display_team_colors,NOT(task_assigned_to=""),task_assigned_to=Settings!$H$20)</xm:f>
            <x14:dxf>
              <fill>
                <patternFill>
                  <bgColor theme="6"/>
                </patternFill>
              </fill>
            </x14:dxf>
          </x14:cfRule>
          <x14:cfRule type="expression" priority="15" id="{8E08AB04-5C50-49B6-82BE-270E56CB2ABB}">
            <xm:f>AND(display_team_colors,NOT(task_assigned_to=""),task_assigned_to=Settings!$H$21)</xm:f>
            <x14:dxf>
              <fill>
                <patternFill>
                  <bgColor theme="7"/>
                </patternFill>
              </fill>
            </x14:dxf>
          </x14:cfRule>
          <x14:cfRule type="expression" priority="16" id="{399A9EF7-693B-413E-9618-09C63C686129}">
            <xm:f>AND(display_team_colors,NOT(task_assigned_to=""),task_assigned_to=Settings!$H$29)</xm:f>
            <x14:dxf>
              <fill>
                <patternFill>
                  <bgColor theme="8"/>
                </patternFill>
              </fill>
            </x14:dxf>
          </x14:cfRule>
          <xm:sqref>L65:JW69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OFFSET(Settings!$H$15,,,COUNTA(Settings!$H$15:$H$41))</xm:f>
          </x14:formula1>
          <xm:sqref>E8:E69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H71"/>
  <sheetViews>
    <sheetView showGridLines="0" tabSelected="1" workbookViewId="0">
      <selection activeCell="B2" sqref="B2"/>
    </sheetView>
  </sheetViews>
  <sheetFormatPr baseColWidth="10" defaultRowHeight="15" x14ac:dyDescent="0.25"/>
  <cols>
    <col min="1" max="1" width="4.7109375" customWidth="1"/>
    <col min="2" max="3" width="22.5703125" customWidth="1"/>
    <col min="4" max="4" width="27.42578125" bestFit="1" customWidth="1"/>
    <col min="5" max="5" width="4" customWidth="1"/>
    <col min="6" max="6" width="32.28515625" customWidth="1"/>
    <col min="7" max="7" width="1.7109375" customWidth="1"/>
    <col min="8" max="8" width="23" customWidth="1"/>
  </cols>
  <sheetData>
    <row r="2" spans="2:8" ht="23.25" x14ac:dyDescent="0.35">
      <c r="B2" s="6" t="s">
        <v>16</v>
      </c>
    </row>
    <row r="4" spans="2:8" ht="18.75" x14ac:dyDescent="0.3">
      <c r="B4" s="37" t="s">
        <v>17</v>
      </c>
      <c r="F4" s="37" t="s">
        <v>38</v>
      </c>
      <c r="G4" s="18"/>
    </row>
    <row r="6" spans="2:8" ht="15.75" x14ac:dyDescent="0.25">
      <c r="B6" s="5" t="s">
        <v>18</v>
      </c>
      <c r="C6" s="27" t="s">
        <v>154</v>
      </c>
      <c r="F6" s="21" t="s">
        <v>40</v>
      </c>
      <c r="G6" s="21"/>
      <c r="H6" s="23" t="b">
        <v>1</v>
      </c>
    </row>
    <row r="7" spans="2:8" ht="6" customHeight="1" x14ac:dyDescent="0.25">
      <c r="C7" s="2"/>
      <c r="F7" s="22"/>
      <c r="G7" s="22"/>
      <c r="H7" s="22"/>
    </row>
    <row r="8" spans="2:8" ht="15.75" x14ac:dyDescent="0.25">
      <c r="B8" s="5" t="s">
        <v>19</v>
      </c>
      <c r="C8" s="27" t="s">
        <v>153</v>
      </c>
      <c r="F8" s="21" t="s">
        <v>39</v>
      </c>
      <c r="G8" s="21"/>
      <c r="H8" s="23" t="b">
        <v>1</v>
      </c>
    </row>
    <row r="9" spans="2:8" ht="6" customHeight="1" x14ac:dyDescent="0.25">
      <c r="C9" s="2"/>
    </row>
    <row r="10" spans="2:8" ht="15.75" x14ac:dyDescent="0.25">
      <c r="B10" s="5" t="s">
        <v>20</v>
      </c>
      <c r="C10" s="42">
        <v>45932</v>
      </c>
      <c r="F10" s="21"/>
      <c r="G10" s="21"/>
      <c r="H10" s="38"/>
    </row>
    <row r="11" spans="2:8" x14ac:dyDescent="0.25">
      <c r="C11" s="2"/>
    </row>
    <row r="12" spans="2:8" x14ac:dyDescent="0.25">
      <c r="C12" s="2"/>
    </row>
    <row r="13" spans="2:8" ht="18.75" x14ac:dyDescent="0.3">
      <c r="B13" s="37" t="s">
        <v>21</v>
      </c>
      <c r="C13" s="2"/>
      <c r="F13" s="37" t="s">
        <v>42</v>
      </c>
      <c r="G13" s="18"/>
    </row>
    <row r="14" spans="2:8" x14ac:dyDescent="0.25">
      <c r="C14" s="2"/>
    </row>
    <row r="15" spans="2:8" ht="15.75" x14ac:dyDescent="0.25">
      <c r="B15" s="5" t="s">
        <v>22</v>
      </c>
      <c r="C15" s="28" t="s">
        <v>23</v>
      </c>
      <c r="F15" s="21" t="s">
        <v>19</v>
      </c>
      <c r="G15" s="35"/>
      <c r="H15" s="23" t="str">
        <f>IF(C8="","",C8)</f>
        <v>EL MAHTOUCHI Tarik</v>
      </c>
    </row>
    <row r="16" spans="2:8" ht="15.75" x14ac:dyDescent="0.25">
      <c r="F16" s="5"/>
      <c r="G16" s="5"/>
      <c r="H16" s="25"/>
    </row>
    <row r="17" spans="2:8" ht="15.75" x14ac:dyDescent="0.25">
      <c r="B17" s="5" t="s">
        <v>24</v>
      </c>
      <c r="C17" s="40">
        <v>45950</v>
      </c>
      <c r="D17" s="39" t="s">
        <v>146</v>
      </c>
      <c r="H17" s="25"/>
    </row>
    <row r="18" spans="2:8" ht="15.75" x14ac:dyDescent="0.25">
      <c r="C18" s="41">
        <v>45951</v>
      </c>
      <c r="D18" s="39" t="s">
        <v>146</v>
      </c>
      <c r="H18" s="26"/>
    </row>
    <row r="19" spans="2:8" ht="15.75" x14ac:dyDescent="0.25">
      <c r="C19" s="41">
        <v>45952</v>
      </c>
      <c r="D19" s="39" t="s">
        <v>146</v>
      </c>
      <c r="H19" s="26"/>
    </row>
    <row r="20" spans="2:8" ht="15.75" x14ac:dyDescent="0.25">
      <c r="C20" s="41">
        <v>45953</v>
      </c>
      <c r="D20" s="39" t="s">
        <v>146</v>
      </c>
      <c r="H20" s="26"/>
    </row>
    <row r="21" spans="2:8" ht="15.75" x14ac:dyDescent="0.25">
      <c r="C21" s="41">
        <v>45954</v>
      </c>
      <c r="D21" s="39" t="s">
        <v>146</v>
      </c>
      <c r="H21" s="26"/>
    </row>
    <row r="22" spans="2:8" ht="15.75" x14ac:dyDescent="0.25">
      <c r="C22" s="41">
        <v>45957</v>
      </c>
      <c r="D22" s="39" t="s">
        <v>146</v>
      </c>
      <c r="H22" s="26"/>
    </row>
    <row r="23" spans="2:8" ht="15.75" x14ac:dyDescent="0.25">
      <c r="C23" s="41">
        <v>45958</v>
      </c>
      <c r="D23" s="39" t="s">
        <v>146</v>
      </c>
      <c r="H23" s="26"/>
    </row>
    <row r="24" spans="2:8" ht="15.75" x14ac:dyDescent="0.25">
      <c r="C24" s="41">
        <v>45959</v>
      </c>
      <c r="D24" s="39" t="s">
        <v>146</v>
      </c>
      <c r="H24" s="26"/>
    </row>
    <row r="25" spans="2:8" ht="15.75" x14ac:dyDescent="0.25">
      <c r="C25" s="41">
        <v>45960</v>
      </c>
      <c r="D25" s="39" t="s">
        <v>146</v>
      </c>
      <c r="H25" s="26"/>
    </row>
    <row r="26" spans="2:8" ht="15.75" x14ac:dyDescent="0.25">
      <c r="C26" s="41">
        <v>45961</v>
      </c>
      <c r="D26" s="39" t="s">
        <v>146</v>
      </c>
      <c r="H26" s="26"/>
    </row>
    <row r="27" spans="2:8" ht="15.75" x14ac:dyDescent="0.25">
      <c r="C27" s="41">
        <v>45972</v>
      </c>
      <c r="D27" s="39" t="s">
        <v>147</v>
      </c>
      <c r="H27" s="26"/>
    </row>
    <row r="28" spans="2:8" ht="15.75" x14ac:dyDescent="0.25">
      <c r="C28" s="41">
        <v>46013</v>
      </c>
      <c r="D28" s="39" t="s">
        <v>148</v>
      </c>
      <c r="H28" s="26"/>
    </row>
    <row r="29" spans="2:8" ht="15.75" x14ac:dyDescent="0.25">
      <c r="C29" s="41">
        <v>46014</v>
      </c>
      <c r="D29" s="39" t="s">
        <v>148</v>
      </c>
      <c r="H29" s="26"/>
    </row>
    <row r="30" spans="2:8" ht="15.75" x14ac:dyDescent="0.25">
      <c r="C30" s="41">
        <v>46015</v>
      </c>
      <c r="D30" s="39" t="s">
        <v>148</v>
      </c>
    </row>
    <row r="31" spans="2:8" ht="15.75" x14ac:dyDescent="0.25">
      <c r="C31" s="41">
        <v>46016</v>
      </c>
      <c r="D31" s="39" t="s">
        <v>148</v>
      </c>
    </row>
    <row r="32" spans="2:8" ht="15.75" x14ac:dyDescent="0.25">
      <c r="C32" s="41">
        <v>46017</v>
      </c>
      <c r="D32" s="39" t="s">
        <v>148</v>
      </c>
    </row>
    <row r="33" spans="3:4" ht="15.75" x14ac:dyDescent="0.25">
      <c r="C33" s="41">
        <v>46020</v>
      </c>
      <c r="D33" s="39" t="s">
        <v>148</v>
      </c>
    </row>
    <row r="34" spans="3:4" ht="15.75" x14ac:dyDescent="0.25">
      <c r="C34" s="41">
        <v>46021</v>
      </c>
      <c r="D34" s="39" t="s">
        <v>148</v>
      </c>
    </row>
    <row r="35" spans="3:4" ht="15.75" x14ac:dyDescent="0.25">
      <c r="C35" s="41">
        <v>46022</v>
      </c>
      <c r="D35" s="39" t="s">
        <v>148</v>
      </c>
    </row>
    <row r="36" spans="3:4" ht="15.75" x14ac:dyDescent="0.25">
      <c r="C36" s="41">
        <v>46023</v>
      </c>
      <c r="D36" s="39" t="s">
        <v>148</v>
      </c>
    </row>
    <row r="37" spans="3:4" ht="15.75" x14ac:dyDescent="0.25">
      <c r="C37" s="41">
        <v>46024</v>
      </c>
      <c r="D37" s="39" t="s">
        <v>148</v>
      </c>
    </row>
    <row r="38" spans="3:4" ht="15.75" x14ac:dyDescent="0.25">
      <c r="C38" s="41">
        <v>46069</v>
      </c>
      <c r="D38" s="39" t="s">
        <v>149</v>
      </c>
    </row>
    <row r="39" spans="3:4" ht="15.75" x14ac:dyDescent="0.25">
      <c r="C39" s="41">
        <v>46070</v>
      </c>
      <c r="D39" s="39" t="s">
        <v>149</v>
      </c>
    </row>
    <row r="40" spans="3:4" ht="15.75" x14ac:dyDescent="0.25">
      <c r="C40" s="41">
        <v>46071</v>
      </c>
      <c r="D40" s="39" t="s">
        <v>149</v>
      </c>
    </row>
    <row r="41" spans="3:4" ht="15.75" x14ac:dyDescent="0.25">
      <c r="C41" s="41">
        <v>46072</v>
      </c>
      <c r="D41" s="39" t="s">
        <v>149</v>
      </c>
    </row>
    <row r="42" spans="3:4" ht="15.75" x14ac:dyDescent="0.25">
      <c r="C42" s="41">
        <v>46073</v>
      </c>
      <c r="D42" s="39" t="s">
        <v>149</v>
      </c>
    </row>
    <row r="43" spans="3:4" ht="15.75" x14ac:dyDescent="0.25">
      <c r="C43" s="41">
        <v>46076</v>
      </c>
      <c r="D43" s="39" t="s">
        <v>149</v>
      </c>
    </row>
    <row r="44" spans="3:4" ht="15.75" x14ac:dyDescent="0.25">
      <c r="C44" s="41">
        <v>46077</v>
      </c>
      <c r="D44" s="39" t="s">
        <v>149</v>
      </c>
    </row>
    <row r="45" spans="3:4" ht="15.75" x14ac:dyDescent="0.25">
      <c r="C45" s="41">
        <v>46078</v>
      </c>
      <c r="D45" s="39" t="s">
        <v>149</v>
      </c>
    </row>
    <row r="46" spans="3:4" ht="15.75" x14ac:dyDescent="0.25">
      <c r="C46" s="41">
        <v>46079</v>
      </c>
      <c r="D46" s="39" t="s">
        <v>149</v>
      </c>
    </row>
    <row r="47" spans="3:4" ht="15.75" x14ac:dyDescent="0.25">
      <c r="C47" s="41">
        <v>46080</v>
      </c>
      <c r="D47" s="39" t="s">
        <v>149</v>
      </c>
    </row>
    <row r="48" spans="3:4" ht="15.75" x14ac:dyDescent="0.25">
      <c r="C48" s="41">
        <v>46118</v>
      </c>
      <c r="D48" s="39" t="s">
        <v>150</v>
      </c>
    </row>
    <row r="49" spans="3:4" ht="15.75" x14ac:dyDescent="0.25">
      <c r="C49" s="41">
        <v>46139</v>
      </c>
      <c r="D49" s="39" t="s">
        <v>151</v>
      </c>
    </row>
    <row r="50" spans="3:4" ht="15.75" x14ac:dyDescent="0.25">
      <c r="C50" s="41">
        <v>46140</v>
      </c>
      <c r="D50" s="39" t="s">
        <v>151</v>
      </c>
    </row>
    <row r="51" spans="3:4" ht="15.75" x14ac:dyDescent="0.25">
      <c r="C51" s="41">
        <v>46141</v>
      </c>
      <c r="D51" s="39" t="s">
        <v>151</v>
      </c>
    </row>
    <row r="52" spans="3:4" ht="15.75" x14ac:dyDescent="0.25">
      <c r="C52" s="41">
        <v>46142</v>
      </c>
      <c r="D52" s="39" t="s">
        <v>151</v>
      </c>
    </row>
    <row r="53" spans="3:4" ht="15.75" x14ac:dyDescent="0.25">
      <c r="C53" s="41">
        <v>46143</v>
      </c>
      <c r="D53" s="39" t="s">
        <v>151</v>
      </c>
    </row>
    <row r="54" spans="3:4" ht="15.75" x14ac:dyDescent="0.25">
      <c r="C54" s="41">
        <v>46146</v>
      </c>
      <c r="D54" s="39" t="s">
        <v>151</v>
      </c>
    </row>
    <row r="55" spans="3:4" ht="15.75" x14ac:dyDescent="0.25">
      <c r="C55" s="41">
        <v>46147</v>
      </c>
      <c r="D55" s="39" t="s">
        <v>151</v>
      </c>
    </row>
    <row r="56" spans="3:4" ht="15.75" x14ac:dyDescent="0.25">
      <c r="C56" s="41">
        <v>46148</v>
      </c>
      <c r="D56" s="39" t="s">
        <v>151</v>
      </c>
    </row>
    <row r="57" spans="3:4" ht="15.75" x14ac:dyDescent="0.25">
      <c r="C57" s="41">
        <v>46149</v>
      </c>
      <c r="D57" s="39" t="s">
        <v>151</v>
      </c>
    </row>
    <row r="58" spans="3:4" ht="15.75" x14ac:dyDescent="0.25">
      <c r="C58" s="41">
        <v>46150</v>
      </c>
      <c r="D58" s="39" t="s">
        <v>151</v>
      </c>
    </row>
    <row r="59" spans="3:4" ht="15.75" x14ac:dyDescent="0.25">
      <c r="C59" s="41">
        <v>46156</v>
      </c>
      <c r="D59" s="39" t="s">
        <v>152</v>
      </c>
    </row>
    <row r="60" spans="3:4" ht="15.75" x14ac:dyDescent="0.25">
      <c r="C60" s="41">
        <v>46167</v>
      </c>
      <c r="D60" s="39" t="s">
        <v>43</v>
      </c>
    </row>
    <row r="61" spans="3:4" ht="15.75" x14ac:dyDescent="0.25">
      <c r="C61" s="41">
        <v>46209</v>
      </c>
      <c r="D61" s="24" t="s">
        <v>44</v>
      </c>
    </row>
    <row r="62" spans="3:4" ht="15.75" x14ac:dyDescent="0.25">
      <c r="C62" s="43"/>
      <c r="D62" s="44"/>
    </row>
    <row r="63" spans="3:4" ht="15.75" x14ac:dyDescent="0.25">
      <c r="C63" s="43"/>
      <c r="D63" s="44"/>
    </row>
    <row r="64" spans="3:4" ht="15.75" x14ac:dyDescent="0.25">
      <c r="C64" s="43"/>
      <c r="D64" s="44"/>
    </row>
    <row r="65" spans="3:4" ht="15.75" x14ac:dyDescent="0.25">
      <c r="C65" s="43"/>
      <c r="D65" s="44"/>
    </row>
    <row r="66" spans="3:4" ht="15.75" x14ac:dyDescent="0.25">
      <c r="C66" s="43"/>
      <c r="D66" s="44"/>
    </row>
    <row r="67" spans="3:4" ht="15.75" x14ac:dyDescent="0.25">
      <c r="C67" s="43"/>
      <c r="D67" s="44"/>
    </row>
    <row r="68" spans="3:4" ht="15.75" x14ac:dyDescent="0.25">
      <c r="C68" s="29"/>
      <c r="D68" s="24"/>
    </row>
    <row r="69" spans="3:4" ht="15.75" x14ac:dyDescent="0.25">
      <c r="C69" s="29"/>
      <c r="D69" s="24"/>
    </row>
    <row r="70" spans="3:4" ht="15.75" x14ac:dyDescent="0.25">
      <c r="C70" s="29"/>
      <c r="D70" s="24"/>
    </row>
    <row r="71" spans="3:4" ht="15.75" x14ac:dyDescent="0.25">
      <c r="C71" s="29"/>
      <c r="D71" s="24"/>
    </row>
  </sheetData>
  <conditionalFormatting sqref="G15:G29">
    <cfRule type="expression" priority="1" stopIfTrue="1">
      <formula>team_member=""</formula>
    </cfRule>
  </conditionalFormatting>
  <conditionalFormatting sqref="G15">
    <cfRule type="expression" dxfId="7" priority="2">
      <formula>TRUE</formula>
    </cfRule>
  </conditionalFormatting>
  <conditionalFormatting sqref="G16">
    <cfRule type="expression" dxfId="6" priority="3">
      <formula>TRUE</formula>
    </cfRule>
  </conditionalFormatting>
  <conditionalFormatting sqref="G17">
    <cfRule type="expression" dxfId="5" priority="4">
      <formula>TRUE</formula>
    </cfRule>
  </conditionalFormatting>
  <conditionalFormatting sqref="G18">
    <cfRule type="expression" dxfId="4" priority="5">
      <formula>TRUE</formula>
    </cfRule>
  </conditionalFormatting>
  <conditionalFormatting sqref="G19">
    <cfRule type="expression" dxfId="3" priority="6">
      <formula>TRUE</formula>
    </cfRule>
  </conditionalFormatting>
  <conditionalFormatting sqref="G20">
    <cfRule type="expression" dxfId="2" priority="7">
      <formula>TRUE</formula>
    </cfRule>
  </conditionalFormatting>
  <conditionalFormatting sqref="G21:G28">
    <cfRule type="expression" dxfId="1" priority="8">
      <formula>TRUE</formula>
    </cfRule>
  </conditionalFormatting>
  <conditionalFormatting sqref="G29">
    <cfRule type="expression" dxfId="0" priority="9">
      <formula>TRUE</formula>
    </cfRule>
  </conditionalFormatting>
  <dataValidations count="1">
    <dataValidation allowBlank="1" showInputMessage="1" showErrorMessage="1" promptTitle="Donnée attendue" prompt="Une chaîne de caractères numériques avec chaque chiffre représentant un jour de la semaine_x000a_O := pas un jour de week-end_x000a_1 := jour de week-end_x000a__x000a_Exemple: 0000011 =&gt; Samedi et Dimanche forment le week-end." sqref="C15" xr:uid="{00000000-0002-0000-0100-000000000000}"/>
  </dataValidations>
  <pageMargins left="0.7" right="0.7" top="0.75" bottom="0.75" header="0.3" footer="0.3"/>
  <pageSetup paperSize="9" orientation="portrait" r:id="rId1"/>
  <ignoredErrors>
    <ignoredError sqref="C15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11</vt:i4>
      </vt:variant>
    </vt:vector>
  </HeadingPairs>
  <TitlesOfParts>
    <vt:vector size="13" baseType="lpstr">
      <vt:lpstr>Gantt Chart</vt:lpstr>
      <vt:lpstr>Settings</vt:lpstr>
      <vt:lpstr>date</vt:lpstr>
      <vt:lpstr>display_overdue</vt:lpstr>
      <vt:lpstr>display_team_colors</vt:lpstr>
      <vt:lpstr>display_weekend</vt:lpstr>
      <vt:lpstr>'Gantt Chart'!task_assigned_to</vt:lpstr>
      <vt:lpstr>task_end</vt:lpstr>
      <vt:lpstr>task_progress</vt:lpstr>
      <vt:lpstr>task_start</vt:lpstr>
      <vt:lpstr>task_workdays</vt:lpstr>
      <vt:lpstr>team_member</vt:lpstr>
      <vt:lpstr>weekend</vt:lpstr>
    </vt:vector>
  </TitlesOfParts>
  <Company>THABEST&amp;ONLY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Templar</dc:creator>
  <cp:lastModifiedBy>EL MAHTOUCHI Tarik</cp:lastModifiedBy>
  <dcterms:created xsi:type="dcterms:W3CDTF">2021-02-16T11:20:00Z</dcterms:created>
  <dcterms:modified xsi:type="dcterms:W3CDTF">2026-05-20T11:57:39Z</dcterms:modified>
</cp:coreProperties>
</file>